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af764db66f49818/002 - DnD/"/>
    </mc:Choice>
  </mc:AlternateContent>
  <xr:revisionPtr revIDLastSave="2806" documentId="8_{3E25873D-4EB4-6841-8DDC-7C3BB5B09AD7}" xr6:coauthVersionLast="47" xr6:coauthVersionMax="47" xr10:uidLastSave="{A37C70E6-322C-E043-84C9-CC3E19392324}"/>
  <bookViews>
    <workbookView xWindow="660" yWindow="660" windowWidth="39240" windowHeight="21160" xr2:uid="{71EE4882-520D-F44D-BF9B-8A17DB82E941}"/>
  </bookViews>
  <sheets>
    <sheet name="Random NPC Type " sheetId="26" r:id="rId1"/>
    <sheet name="Random NPC" sheetId="4" r:id="rId2"/>
    <sheet name="Random Druid" sheetId="19" r:id="rId3"/>
    <sheet name="Random Elf" sheetId="21" r:id="rId4"/>
    <sheet name="Random Bard" sheetId="24" r:id="rId5"/>
    <sheet name="Random NPC Source Data" sheetId="2" r:id="rId6"/>
  </sheets>
  <definedNames>
    <definedName name="_xleta.SHEET" hidden="1" xlm="1">#NAME?</definedName>
    <definedName name="_xleta.VALUE" hidden="1" xlm="1">#NAME?</definedName>
    <definedName name="_xlpm.array" hidden="1" xlm="1">#NAME?</definedName>
    <definedName name="Age" localSheetId="0">NPC[Age]</definedName>
    <definedName name="Age">NPC[Age]</definedName>
    <definedName name="Bard_background" localSheetId="0">Bard[Bard Background]</definedName>
    <definedName name="Bard_background">Bard[Bard Background]</definedName>
    <definedName name="Bard_boot_hide" localSheetId="0">Bard[Bard boot hide]</definedName>
    <definedName name="Bard_boot_hide">Bard[Bard boot hide]</definedName>
    <definedName name="Bard_clothes" localSheetId="0">Bard[Bard clothes]</definedName>
    <definedName name="Bard_clothes">Bard[Bard clothes]</definedName>
    <definedName name="Bard_coat_hide" localSheetId="0">Bard[Bard coat hide]</definedName>
    <definedName name="Bard_coat_hide">Bard[Bard coat hide]</definedName>
    <definedName name="Bard_fans" localSheetId="0">Bard[Bard fans]</definedName>
    <definedName name="Bard_fans">Bard[Bard fans]</definedName>
    <definedName name="Bard_goal" localSheetId="0">Bard[Bard goal]</definedName>
    <definedName name="Bard_goal">Bard[Bard goal]</definedName>
    <definedName name="Bard_hat_feather" localSheetId="0">Bard[Bard hat feather]</definedName>
    <definedName name="Bard_hat_feather">Bard[Bard hat feather]</definedName>
    <definedName name="Bard_instrument" localSheetId="0">Bard[Bard Instrument]</definedName>
    <definedName name="Bard_instrument">Bard[Bard Instrument]</definedName>
    <definedName name="Bard_instrument_history" localSheetId="0">Bard[Bard Instrument history]</definedName>
    <definedName name="Bard_instrument_history">Bard[Bard Instrument history]</definedName>
    <definedName name="Bard_possessions" localSheetId="0">Bard[Bard possession]</definedName>
    <definedName name="Bard_possessions">Bard[Bard possession]</definedName>
    <definedName name="Bard_song" localSheetId="0">Bard[Bard song]</definedName>
    <definedName name="Bard_song">Bard[Bard song]</definedName>
    <definedName name="Bard_song_popular" localSheetId="0">Bard[Bard song popular]</definedName>
    <definedName name="Bard_song_popular">Bard[Bard song popular]</definedName>
    <definedName name="Bard_sung_at" localSheetId="0">Bard[Bard sung at]</definedName>
    <definedName name="Bard_sung_at">Bard[Bard sung at]</definedName>
    <definedName name="Bard_tale" localSheetId="0">Bard[Bard tale]</definedName>
    <definedName name="Bard_tale">Bard[Bard tale]</definedName>
    <definedName name="Bard_trait" localSheetId="0">Bard[Bard trait]</definedName>
    <definedName name="Bard_trait">Bard[Bard trait]</definedName>
    <definedName name="Bard_weapons_tricks" localSheetId="0">Bard[Bard weapons and tricks]</definedName>
    <definedName name="Bard_weapons_tricks">Bard[Bard weapons and tricks]</definedName>
    <definedName name="Body" localSheetId="0">NPC[Body]</definedName>
    <definedName name="Body">NPC[Body]</definedName>
    <definedName name="Callarii_eyes" localSheetId="0">Table3[Callarii Elf Eyes]</definedName>
    <definedName name="Callarii_eyes">Table3[Callarii Elf Eyes]</definedName>
    <definedName name="Callarii_goal" localSheetId="0">Table3[Callarii Elf Goal]</definedName>
    <definedName name="Callarii_goal">Table3[Callarii Elf Goal]</definedName>
    <definedName name="Callarii_hair" localSheetId="0">Table3[Callarii Elf Hair]</definedName>
    <definedName name="Callarii_hair">Table3[Callarii Elf Hair]</definedName>
    <definedName name="Callarii_mannerism" localSheetId="0">Table3[Callarii Elf Mannerism]</definedName>
    <definedName name="Callarii_mannerism">Table3[Callarii Elf Mannerism]</definedName>
    <definedName name="Callarii_possession" localSheetId="0">Table3[Callarii Elf Possession]</definedName>
    <definedName name="Callarii_possession">Table3[Callarii Elf Possession]</definedName>
    <definedName name="Callarii_profession" localSheetId="0">Table3[Callarii Elf Profession]</definedName>
    <definedName name="Callarii_profession">Table3[Callarii Elf Profession]</definedName>
    <definedName name="Calm_trait" localSheetId="0">NPC[Calm trait]</definedName>
    <definedName name="Calm_trait">NPC[Calm trait]</definedName>
    <definedName name="Clothes" localSheetId="0">NPC[Clothes]</definedName>
    <definedName name="Clothes">NPC[Clothes]</definedName>
    <definedName name="Cook_background" localSheetId="0">'Random NPC Source Data'!$BG$2:$BG$20</definedName>
    <definedName name="Cook_background">'Random NPC Source Data'!$BG$2:$BG$20</definedName>
    <definedName name="Current_mood" localSheetId="0">NPC[Current mood]</definedName>
    <definedName name="Current_mood">NPC[Current mood]</definedName>
    <definedName name="Druid_Background" localSheetId="0">Druid[Druid Background]</definedName>
    <definedName name="Druid_Background">Druid[Druid Background]</definedName>
    <definedName name="Druid_clothes" localSheetId="0">Druid[Druid Clothes]</definedName>
    <definedName name="Druid_clothes">Druid[Druid Clothes]</definedName>
    <definedName name="Druid_Eyes" localSheetId="0">Druid[Druid Eyes]</definedName>
    <definedName name="Druid_Eyes">Druid[Druid Eyes]</definedName>
    <definedName name="Druid_focus" localSheetId="0">Druid[Druidic Focus]</definedName>
    <definedName name="Druid_focus">Druid[Druidic Focus]</definedName>
    <definedName name="Druid_focus_beast" localSheetId="0">Druid[Focus of Beasts]</definedName>
    <definedName name="Druid_focus_beast">Druid[Focus of Beasts]</definedName>
    <definedName name="Druid_focus_plants" localSheetId="0">Druid[Focus of Plants]</definedName>
    <definedName name="Druid_focus_plants">Druid[Focus of Plants]</definedName>
    <definedName name="Druid_goal" localSheetId="0">Druid[Druid Goal]</definedName>
    <definedName name="Druid_goal">Druid[Druid Goal]</definedName>
    <definedName name="Druid_Mannerism" localSheetId="0">Druid[Druid Mannerism]</definedName>
    <definedName name="Druid_Mannerism">Druid[Druid Mannerism]</definedName>
    <definedName name="Druid_possessions" localSheetId="0">Druid[Druid Possessions]</definedName>
    <definedName name="Druid_possessions">Druid[Druid Possessions]</definedName>
    <definedName name="Druid_remedy_application" localSheetId="0">Druid[Druid Remedy Application]</definedName>
    <definedName name="Druid_remedy_application">Druid[Druid Remedy Application]</definedName>
    <definedName name="Druid_remedy_color" localSheetId="0">Druid[Druid Remedy Color]</definedName>
    <definedName name="Druid_remedy_color">Druid[Druid Remedy Color]</definedName>
    <definedName name="Druid_remedy_form" localSheetId="0">Druid[Druid Remedy Form]</definedName>
    <definedName name="Druid_remedy_form">Druid[Druid Remedy Form]</definedName>
    <definedName name="Druid_remedy_ingredients" localSheetId="0">Druid[Druid Remedy Ingredients]</definedName>
    <definedName name="Druid_remedy_ingredients">Druid[Druid Remedy Ingredients]</definedName>
    <definedName name="Druid_remedy_prep" localSheetId="0">Druid[Druid Remedy Prep]</definedName>
    <definedName name="Druid_remedy_prep">Druid[Druid Remedy Prep]</definedName>
    <definedName name="Druid_remedy_purpose" localSheetId="0">Druid[Druid Herb Remedy Purpose]</definedName>
    <definedName name="Druid_remedy_purpose">Druid[Druid Herb Remedy Purpose]</definedName>
    <definedName name="Druid_Special_Wild_Connection" localSheetId="0">Druid[Druid Special Wild Connection]</definedName>
    <definedName name="Druid_Special_Wild_Connection">Druid[Druid Special Wild Connection]</definedName>
    <definedName name="Druid_Training" localSheetId="0">Druid[Druid Training]</definedName>
    <definedName name="Druid_Training">Druid[Druid Training]</definedName>
    <definedName name="Druid_Trait" localSheetId="0">Druid[Druid Trait]</definedName>
    <definedName name="Druid_Trait">Druid[Druid Trait]</definedName>
    <definedName name="Druid_Weapon" localSheetId="0">Druid[Druid Weapon]</definedName>
    <definedName name="Druid_Weapon">Druid[Druid Weapon]</definedName>
    <definedName name="Ears" localSheetId="0">NPC[Ears]</definedName>
    <definedName name="Ears">NPC[Ears]</definedName>
    <definedName name="Elf_clan_name" localSheetId="0">Names[Elf Clan]</definedName>
    <definedName name="Elf_clan_name">Names[Elf Clan]</definedName>
    <definedName name="Elf_female_name" localSheetId="0">Names[Elf Female]</definedName>
    <definedName name="Elf_female_name">Names[Elf Female]</definedName>
    <definedName name="Elf_male_name" localSheetId="0">Names[Elf Male]</definedName>
    <definedName name="Elf_male_name">Names[Elf Male]</definedName>
    <definedName name="Elf_Types" localSheetId="0">Table3[Elf Types]</definedName>
    <definedName name="Elf_Types">Table3[Elf Types]</definedName>
    <definedName name="Elves" localSheetId="0">Table3[]</definedName>
    <definedName name="Elves">Table3[]</definedName>
    <definedName name="Eyes" localSheetId="0">NPC[Eyes]</definedName>
    <definedName name="Eyes">NPC[Eyes]</definedName>
    <definedName name="Face" localSheetId="0">NPC[Face]</definedName>
    <definedName name="Face">NPC[Face]</definedName>
    <definedName name="Faith" localSheetId="0">NPC[Faith]</definedName>
    <definedName name="Faith">NPC[Faith]</definedName>
    <definedName name="Female_names" localSheetId="0">Names[Female Names]</definedName>
    <definedName name="Female_names">Names[Female Names]</definedName>
    <definedName name="Flaws" localSheetId="0">NPC[Flaws]</definedName>
    <definedName name="Flaws">NPC[Flaws]</definedName>
    <definedName name="Gender" localSheetId="0">NPC[Gender]</definedName>
    <definedName name="Gender">NPC[Gender]</definedName>
    <definedName name="Hair" localSheetId="0">NPC[Hair]</definedName>
    <definedName name="Hair">NPC[Hair]</definedName>
    <definedName name="Hands" localSheetId="0">NPC[Hands]</definedName>
    <definedName name="Hands">NPC[Hands]</definedName>
    <definedName name="Height" localSheetId="0">NPC[Height]</definedName>
    <definedName name="Height">NPC[Height]</definedName>
    <definedName name="High_elf_eyes" localSheetId="0">Table3[High Elf Eyes]</definedName>
    <definedName name="High_elf_eyes">Table3[High Elf Eyes]</definedName>
    <definedName name="High_elf_goal" localSheetId="0">Table3[High Elf Goal]</definedName>
    <definedName name="High_elf_goal">Table3[High Elf Goal]</definedName>
    <definedName name="High_elf_hair" localSheetId="0">Table3[High Elf Hair]</definedName>
    <definedName name="High_elf_hair">Table3[High Elf Hair]</definedName>
    <definedName name="High_elf_mannerism" localSheetId="0">Table3[High Elf Mannerism]</definedName>
    <definedName name="High_elf_mannerism">Table3[High Elf Mannerism]</definedName>
    <definedName name="High_elf_possession" localSheetId="0">Table3[High Elf Possession]</definedName>
    <definedName name="High_elf_possession">Table3[High Elf Possession]</definedName>
    <definedName name="High_elf_profession" localSheetId="0">Table3[High Elf Profession]</definedName>
    <definedName name="High_elf_profession">Table3[High Elf Profession]</definedName>
    <definedName name="IsUnique_test">OFFSET(#REF!,0,0,COUNTA(#REF!),1)</definedName>
    <definedName name="Jaw" localSheetId="0">NPC[Jaw]</definedName>
    <definedName name="Jaw">NPC[Jaw]</definedName>
    <definedName name="Jewelry" localSheetId="0">NPC[Jewelry]</definedName>
    <definedName name="Jewelry">NPC[Jewelry]</definedName>
    <definedName name="Jewelry_made_of" localSheetId="0">NPC[Jewelry made of]</definedName>
    <definedName name="Jewelry_made_of">NPC[Jewelry made of]</definedName>
    <definedName name="Knight_goal" localSheetId="0">'Random NPC Source Data'!$BB$2:$BB$20</definedName>
    <definedName name="Knight_goal">'Random NPC Source Data'!$BB$2:$BB$20</definedName>
    <definedName name="Knight_possession" localSheetId="0">'Random NPC Source Data'!$BA$2:$BA$20</definedName>
    <definedName name="Knight_possession">'Random NPC Source Data'!$BA$2:$BA$20</definedName>
    <definedName name="Lord_background" localSheetId="0">'Random NPC Source Data'!$AI$3:$AI$20</definedName>
    <definedName name="Lord_background">'Random NPC Source Data'!$AI$3:$AI$20</definedName>
    <definedName name="Lord_goal" localSheetId="0">'Random NPC Source Data'!$AO$2:$AO$20</definedName>
    <definedName name="Lord_goal">'Random NPC Source Data'!$AO$2:$AO$20</definedName>
    <definedName name="Lord_possessions" localSheetId="0">'Random NPC Source Data'!$AJ$3:$AJ$20</definedName>
    <definedName name="Lord_possessions">'Random NPC Source Data'!$AJ$3:$AJ$20</definedName>
    <definedName name="Male_names" localSheetId="0">Names[Male Names]</definedName>
    <definedName name="Male_names">Names[Male Names]</definedName>
    <definedName name="Mouth" localSheetId="0">NPC[Mouth]</definedName>
    <definedName name="Mouth">NPC[Mouth]</definedName>
    <definedName name="Noblewoman_background" localSheetId="0">'Random NPC Source Data'!$AV$2:$AV$20</definedName>
    <definedName name="Noblewoman_background">'Random NPC Source Data'!$AV$2:$AV$20</definedName>
    <definedName name="Nose" localSheetId="0">NPC[Nose]</definedName>
    <definedName name="Nose">NPC[Nose]</definedName>
    <definedName name="NPC_Type" localSheetId="0">'Random NPC Source Data'!$AG$2:$AG$20</definedName>
    <definedName name="NPC_Type">'Random NPC Source Data'!$AG$2:$AG$20</definedName>
    <definedName name="Prejudice" localSheetId="0">NPC[Prejudice]</definedName>
    <definedName name="Prejudice">NPC[Prejudice]</definedName>
    <definedName name="Race" localSheetId="0">NPC[Race]</definedName>
    <definedName name="Race">NPC[Race]</definedName>
    <definedName name="Scar" localSheetId="0">NPC[Scar]</definedName>
    <definedName name="Scar">NPC[Scar]</definedName>
    <definedName name="Stress_trait" localSheetId="0">NPC[Stress trait]</definedName>
    <definedName name="Stress_trait">NPC[Stress trait]</definedName>
    <definedName name="Tattoos" localSheetId="0">NPC[Tattoos]</definedName>
    <definedName name="Tattoos">NPC[Tattoos]</definedName>
    <definedName name="Tutor_knowledge" localSheetId="0">'Random NPC Source Data'!$BI$2:$BI$20</definedName>
    <definedName name="Tutor_knowledge">'Random NPC Source Data'!$BI$2:$BI$20</definedName>
    <definedName name="Tutor_viewed_as" localSheetId="0">'Random NPC Source Data'!$BJ$2:$BJ$20</definedName>
    <definedName name="Tutor_viewed_as">'Random NPC Source Data'!$BJ$2:$BJ$20</definedName>
    <definedName name="Vyalia_eyes" localSheetId="0">Table3[Vyalia Eyes]</definedName>
    <definedName name="Vyalia_eyes">Table3[Vyalia Eyes]</definedName>
    <definedName name="Vyalia_goal" localSheetId="0">Table3[Vyalia Goal]</definedName>
    <definedName name="Vyalia_goal">Table3[Vyalia Goal]</definedName>
    <definedName name="Vyalia_hair" localSheetId="0">Table3[Vyalia Hair]</definedName>
    <definedName name="Vyalia_hair">Table3[Vyalia Hair]</definedName>
    <definedName name="Vyalia_mannerism" localSheetId="0">Table3[Vyalia Mannerism]</definedName>
    <definedName name="Vyalia_mannerism">Table3[Vyalia Mannerism]</definedName>
    <definedName name="Vyalia_possession" localSheetId="0">Table3[Vyalia Possession]</definedName>
    <definedName name="Vyalia_possession">Table3[Vyalia Possession]</definedName>
    <definedName name="Vyalia_profession" localSheetId="0">Table3[Vyalia Profession]</definedName>
    <definedName name="Vyalia_profession">Table3[Vyalia Profession]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6" l="1" a="1"/>
  <c r="D8" i="26" s="1"/>
  <c r="D3" i="26" s="1" a="1"/>
  <c r="D3" i="26" s="1"/>
  <c r="BN3" i="2" a="1"/>
  <c r="BN3" i="2" s="1"/>
  <c r="BO3" i="2" s="1" a="1"/>
  <c r="BO3" i="2" s="1"/>
  <c r="D23" i="26" a="1"/>
  <c r="D23" i="26" s="1"/>
  <c r="D22" i="26" a="1"/>
  <c r="D22" i="26" s="1"/>
  <c r="D21" i="26" a="1"/>
  <c r="D21" i="26" s="1"/>
  <c r="D20" i="26" a="1"/>
  <c r="D20" i="26" s="1"/>
  <c r="D19" i="26" a="1"/>
  <c r="D19" i="26" s="1"/>
  <c r="D18" i="26" a="1"/>
  <c r="D18" i="26" s="1"/>
  <c r="D17" i="26" a="1"/>
  <c r="D17" i="26" s="1"/>
  <c r="D16" i="26" a="1"/>
  <c r="D16" i="26" s="1"/>
  <c r="D15" i="26" a="1"/>
  <c r="D15" i="26" s="1"/>
  <c r="D14" i="26" a="1"/>
  <c r="D14" i="26" s="1"/>
  <c r="D13" i="26" a="1"/>
  <c r="D13" i="26" s="1"/>
  <c r="D12" i="26" a="1"/>
  <c r="D12" i="26" s="1"/>
  <c r="G11" i="26" a="1"/>
  <c r="G11" i="26" s="1"/>
  <c r="D11" i="26" a="1"/>
  <c r="D11" i="26" s="1"/>
  <c r="G10" i="26" a="1"/>
  <c r="G10" i="26" s="1"/>
  <c r="D10" i="26" a="1"/>
  <c r="D10" i="26" s="1"/>
  <c r="G9" i="26" a="1"/>
  <c r="G9" i="26" s="1"/>
  <c r="D9" i="26" a="1"/>
  <c r="D9" i="26" s="1"/>
  <c r="G8" i="26" a="1"/>
  <c r="G8" i="26" s="1"/>
  <c r="G7" i="26" a="1"/>
  <c r="G7" i="26" s="1"/>
  <c r="D7" i="26" a="1"/>
  <c r="D7" i="26" s="1"/>
  <c r="G6" i="26" a="1"/>
  <c r="G6" i="26" s="1"/>
  <c r="D6" i="26" a="1"/>
  <c r="D6" i="26" s="1"/>
  <c r="J19" i="24" a="1"/>
  <c r="J19" i="24" s="1"/>
  <c r="J18" i="24" a="1"/>
  <c r="J18" i="24" s="1"/>
  <c r="J17" i="24" a="1"/>
  <c r="J17" i="24" s="1"/>
  <c r="J16" i="24" a="1"/>
  <c r="J16" i="24" s="1"/>
  <c r="J15" i="24" a="1"/>
  <c r="J15" i="24" s="1"/>
  <c r="J12" i="24" a="1"/>
  <c r="J12" i="24" s="1"/>
  <c r="J11" i="24" a="1"/>
  <c r="J11" i="24" s="1"/>
  <c r="J10" i="24" a="1"/>
  <c r="J10" i="24" s="1"/>
  <c r="J9" i="24" a="1"/>
  <c r="J9" i="24" s="1"/>
  <c r="J8" i="24" a="1"/>
  <c r="J8" i="24" s="1"/>
  <c r="J7" i="24" a="1"/>
  <c r="J7" i="24" s="1"/>
  <c r="J6" i="24" a="1"/>
  <c r="J6" i="24" s="1"/>
  <c r="G11" i="24" a="1"/>
  <c r="G11" i="24" s="1"/>
  <c r="G10" i="24" a="1"/>
  <c r="G10" i="24" s="1"/>
  <c r="G9" i="24" a="1"/>
  <c r="G9" i="24" s="1"/>
  <c r="G8" i="24" a="1"/>
  <c r="G8" i="24" s="1"/>
  <c r="G7" i="24" a="1"/>
  <c r="G7" i="24" s="1"/>
  <c r="G6" i="24" a="1"/>
  <c r="G6" i="24" s="1"/>
  <c r="D26" i="24" a="1"/>
  <c r="D26" i="24" s="1"/>
  <c r="D25" i="24" a="1"/>
  <c r="D25" i="24" s="1"/>
  <c r="D24" i="24" a="1"/>
  <c r="D24" i="24" s="1"/>
  <c r="D23" i="24" a="1"/>
  <c r="D23" i="24" s="1"/>
  <c r="D22" i="24" a="1"/>
  <c r="D22" i="24" s="1"/>
  <c r="D21" i="24" a="1"/>
  <c r="D21" i="24" s="1"/>
  <c r="D20" i="24" a="1"/>
  <c r="D20" i="24" s="1"/>
  <c r="D19" i="24" a="1"/>
  <c r="D19" i="24" s="1"/>
  <c r="D18" i="24" a="1"/>
  <c r="D18" i="24" s="1"/>
  <c r="D17" i="24" a="1"/>
  <c r="D17" i="24" s="1"/>
  <c r="D16" i="24" a="1"/>
  <c r="D16" i="24" s="1"/>
  <c r="D15" i="24" a="1"/>
  <c r="D15" i="24" s="1"/>
  <c r="D14" i="24" a="1"/>
  <c r="D14" i="24" s="1"/>
  <c r="D13" i="24" a="1"/>
  <c r="D13" i="24" s="1"/>
  <c r="D12" i="24" a="1"/>
  <c r="D12" i="24" s="1"/>
  <c r="D11" i="24" a="1"/>
  <c r="D11" i="24" s="1"/>
  <c r="D10" i="24" a="1"/>
  <c r="D10" i="24" s="1"/>
  <c r="D9" i="24" a="1"/>
  <c r="D9" i="24" s="1"/>
  <c r="D8" i="24" a="1"/>
  <c r="D8" i="24" s="1"/>
  <c r="D3" i="24" s="1" a="1"/>
  <c r="D3" i="24" s="1"/>
  <c r="D7" i="24" a="1"/>
  <c r="D7" i="24" s="1"/>
  <c r="D6" i="24" a="1"/>
  <c r="D6" i="24" s="1"/>
  <c r="J9" i="21" a="1"/>
  <c r="J9" i="21" s="1"/>
  <c r="J8" i="21" a="1"/>
  <c r="J8" i="21" s="1"/>
  <c r="J7" i="21" a="1"/>
  <c r="J7" i="21" s="1"/>
  <c r="G13" i="21" a="1"/>
  <c r="G13" i="21" s="1"/>
  <c r="G12" i="21" a="1"/>
  <c r="G12" i="21" s="1"/>
  <c r="G11" i="21" a="1"/>
  <c r="G11" i="21" s="1"/>
  <c r="G10" i="21" a="1"/>
  <c r="G10" i="21" s="1"/>
  <c r="G9" i="21" a="1"/>
  <c r="G9" i="21" s="1"/>
  <c r="G8" i="21" a="1"/>
  <c r="G8" i="21" s="1"/>
  <c r="G7" i="21" a="1"/>
  <c r="G7" i="21" s="1"/>
  <c r="G4" i="21" a="1"/>
  <c r="G4" i="21" s="1"/>
  <c r="D22" i="21" a="1"/>
  <c r="D22" i="21" s="1"/>
  <c r="D21" i="21" a="1"/>
  <c r="D21" i="21" s="1"/>
  <c r="D20" i="21" a="1"/>
  <c r="D20" i="21" s="1"/>
  <c r="D19" i="21" a="1"/>
  <c r="D19" i="21" s="1"/>
  <c r="D18" i="21" a="1"/>
  <c r="D18" i="21" s="1"/>
  <c r="D17" i="21" a="1"/>
  <c r="D17" i="21" s="1"/>
  <c r="D16" i="21" a="1"/>
  <c r="D16" i="21" s="1"/>
  <c r="D15" i="21" a="1"/>
  <c r="D15" i="21" s="1"/>
  <c r="D14" i="21" a="1"/>
  <c r="D14" i="21" s="1"/>
  <c r="D13" i="21" a="1"/>
  <c r="D13" i="21" s="1"/>
  <c r="D12" i="21" a="1"/>
  <c r="D12" i="21" s="1"/>
  <c r="D11" i="21" a="1"/>
  <c r="D11" i="21" s="1"/>
  <c r="D10" i="21" a="1"/>
  <c r="D10" i="21" s="1"/>
  <c r="D9" i="21" a="1"/>
  <c r="D9" i="21" s="1"/>
  <c r="D4" i="21" s="1" a="1"/>
  <c r="D4" i="21" s="1"/>
  <c r="D8" i="21" a="1"/>
  <c r="D8" i="21" s="1"/>
  <c r="D7" i="21" a="1"/>
  <c r="D7" i="21" s="1"/>
  <c r="J22" i="19" a="1"/>
  <c r="J22" i="19" s="1"/>
  <c r="J21" i="19" a="1"/>
  <c r="J21" i="19" s="1"/>
  <c r="J20" i="19" a="1"/>
  <c r="J20" i="19" s="1"/>
  <c r="J19" i="19" a="1"/>
  <c r="J19" i="19" s="1"/>
  <c r="J18" i="19" a="1"/>
  <c r="J18" i="19" s="1"/>
  <c r="J17" i="19" a="1"/>
  <c r="J17" i="19" s="1"/>
  <c r="J11" i="19" a="1"/>
  <c r="J11" i="19" s="1"/>
  <c r="J10" i="19" a="1"/>
  <c r="J10" i="19" s="1"/>
  <c r="J9" i="19" a="1"/>
  <c r="J9" i="19" s="1"/>
  <c r="J8" i="19" a="1"/>
  <c r="J8" i="19" s="1"/>
  <c r="G21" i="19" a="1"/>
  <c r="G21" i="19" s="1"/>
  <c r="G20" i="19" a="1"/>
  <c r="G20" i="19" s="1"/>
  <c r="G19" i="19" a="1"/>
  <c r="G19" i="19" s="1"/>
  <c r="G18" i="19" a="1"/>
  <c r="G18" i="19" s="1"/>
  <c r="G17" i="19" a="1"/>
  <c r="G17" i="19" s="1"/>
  <c r="G14" i="19" a="1"/>
  <c r="G14" i="19" s="1"/>
  <c r="G13" i="19" a="1"/>
  <c r="G13" i="19" s="1"/>
  <c r="G12" i="19" a="1"/>
  <c r="G12" i="19" s="1"/>
  <c r="G11" i="19" a="1"/>
  <c r="G11" i="19" s="1"/>
  <c r="G10" i="19" a="1"/>
  <c r="G10" i="19" s="1"/>
  <c r="G9" i="19" a="1"/>
  <c r="G9" i="19" s="1"/>
  <c r="G8" i="19" a="1"/>
  <c r="G8" i="19" s="1"/>
  <c r="D24" i="19" a="1"/>
  <c r="D24" i="19" s="1"/>
  <c r="D23" i="19" a="1"/>
  <c r="D23" i="19" s="1"/>
  <c r="D22" i="19" a="1"/>
  <c r="D22" i="19" s="1"/>
  <c r="D21" i="19" a="1"/>
  <c r="D21" i="19" s="1"/>
  <c r="D20" i="19" a="1"/>
  <c r="D20" i="19" s="1"/>
  <c r="D19" i="19" a="1"/>
  <c r="D19" i="19" s="1"/>
  <c r="D18" i="19" a="1"/>
  <c r="D18" i="19" s="1"/>
  <c r="D17" i="19" a="1"/>
  <c r="D17" i="19" s="1"/>
  <c r="D16" i="19" a="1"/>
  <c r="D16" i="19" s="1"/>
  <c r="D15" i="19" a="1"/>
  <c r="D15" i="19" s="1"/>
  <c r="D14" i="19" a="1"/>
  <c r="D14" i="19" s="1"/>
  <c r="D13" i="19" a="1"/>
  <c r="D13" i="19" s="1"/>
  <c r="D12" i="19" a="1"/>
  <c r="D12" i="19" s="1"/>
  <c r="D11" i="19" a="1"/>
  <c r="D11" i="19" s="1"/>
  <c r="D10" i="19" a="1"/>
  <c r="D10" i="19" s="1"/>
  <c r="D5" i="19" s="1" a="1"/>
  <c r="D5" i="19" s="1"/>
  <c r="D9" i="19" a="1"/>
  <c r="D9" i="19" s="1"/>
  <c r="D8" i="19" a="1"/>
  <c r="D8" i="19" s="1"/>
  <c r="G10" i="4" a="1"/>
  <c r="G10" i="4" s="1"/>
  <c r="G9" i="4" a="1"/>
  <c r="G9" i="4" s="1"/>
  <c r="G8" i="4" a="1"/>
  <c r="G8" i="4" s="1"/>
  <c r="G7" i="4" a="1"/>
  <c r="G7" i="4" s="1"/>
  <c r="G6" i="4" a="1"/>
  <c r="G6" i="4" s="1"/>
  <c r="G5" i="4" a="1"/>
  <c r="G5" i="4" s="1"/>
  <c r="D22" i="4" a="1"/>
  <c r="D22" i="4" s="1"/>
  <c r="D21" i="4" a="1"/>
  <c r="D21" i="4" s="1"/>
  <c r="D20" i="4" a="1"/>
  <c r="D20" i="4" s="1"/>
  <c r="D19" i="4" a="1"/>
  <c r="D19" i="4" s="1"/>
  <c r="D18" i="4" a="1"/>
  <c r="D18" i="4" s="1"/>
  <c r="D17" i="4" a="1"/>
  <c r="D17" i="4" s="1"/>
  <c r="D16" i="4" a="1"/>
  <c r="D16" i="4" s="1"/>
  <c r="D15" i="4" a="1"/>
  <c r="D15" i="4" s="1"/>
  <c r="D14" i="4" a="1"/>
  <c r="D14" i="4" s="1"/>
  <c r="D13" i="4" a="1"/>
  <c r="D13" i="4" s="1"/>
  <c r="D12" i="4" a="1"/>
  <c r="D12" i="4" s="1"/>
  <c r="D11" i="4" a="1"/>
  <c r="D11" i="4" s="1"/>
  <c r="D10" i="4" a="1"/>
  <c r="D10" i="4" s="1"/>
  <c r="D9" i="4" a="1"/>
  <c r="D9" i="4" s="1"/>
  <c r="D8" i="4" a="1"/>
  <c r="D8" i="4" s="1"/>
  <c r="D6" i="4" a="1"/>
  <c r="D6" i="4" s="1"/>
  <c r="D7" i="4" a="1"/>
  <c r="D7" i="4" s="1"/>
  <c r="D3" i="4" s="1" a="1"/>
  <c r="D3" i="4" s="1"/>
  <c r="D5" i="4" a="1"/>
  <c r="D5" i="4" s="1"/>
  <c r="J11" i="26" a="1"/>
  <c r="J7" i="26" a="1"/>
  <c r="J10" i="26" a="1"/>
  <c r="J9" i="26" a="1"/>
  <c r="J8" i="26" a="1"/>
  <c r="J6" i="26" a="1"/>
  <c r="BP3" i="2" l="1" a="1"/>
  <c r="BP3" i="2" s="1"/>
  <c r="I20" i="26" s="1"/>
  <c r="J6" i="26"/>
  <c r="J8" i="26"/>
  <c r="J9" i="26"/>
  <c r="J10" i="26"/>
  <c r="J7" i="26"/>
  <c r="J11" i="2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<sst xmlns="http://schemas.openxmlformats.org/spreadsheetml/2006/main" count="4557" uniqueCount="4041">
  <si>
    <t>Eyes</t>
  </si>
  <si>
    <t>Sleepy eyes.</t>
  </si>
  <si>
    <t>Shifty eyes.</t>
  </si>
  <si>
    <t>Watery eyes.</t>
  </si>
  <si>
    <t>Bright eyes.</t>
  </si>
  <si>
    <t>Cold eyes.</t>
  </si>
  <si>
    <t>Smiling eyes.</t>
  </si>
  <si>
    <t>Close-set eyes.</t>
  </si>
  <si>
    <t>Wild eyes.</t>
  </si>
  <si>
    <t>Distant eyes.</t>
  </si>
  <si>
    <t>A lazy eye.</t>
  </si>
  <si>
    <t>Piercing eyes.</t>
  </si>
  <si>
    <t>Watchful eyes.</t>
  </si>
  <si>
    <t>Dark eyes.</t>
  </si>
  <si>
    <t>Hooded eyes.</t>
  </si>
  <si>
    <t>Eyes of two different colors.</t>
  </si>
  <si>
    <t>Slightly crossed eyes.</t>
  </si>
  <si>
    <t>Wide eyes.</t>
  </si>
  <si>
    <t>Beautiful eyes.</t>
  </si>
  <si>
    <t>Beady eyes.</t>
  </si>
  <si>
    <t>Penetrating eyes.</t>
  </si>
  <si>
    <t>Ears</t>
  </si>
  <si>
    <t>Over-sized ears.</t>
  </si>
  <si>
    <t>Long ear lobes.</t>
  </si>
  <si>
    <t>Small ears.</t>
  </si>
  <si>
    <t>Uneven ears.</t>
  </si>
  <si>
    <t>Hairy ears.</t>
  </si>
  <si>
    <t>Pointy ears.</t>
  </si>
  <si>
    <t>Short ear lobes.</t>
  </si>
  <si>
    <t>Ears that stick out.</t>
  </si>
  <si>
    <t>Jug-handle ears.</t>
  </si>
  <si>
    <t>Elaborately pierced ears.</t>
  </si>
  <si>
    <t>Cauliflower ears.</t>
  </si>
  <si>
    <t>Ears with improbable tufts of hair.</t>
  </si>
  <si>
    <t>Mouth</t>
  </si>
  <si>
    <t>Full lips.</t>
  </si>
  <si>
    <t>Buck-teeth.</t>
  </si>
  <si>
    <t>Thin lips.</t>
  </si>
  <si>
    <t>Rotting teeth.</t>
  </si>
  <si>
    <t>Crooked teeth.</t>
  </si>
  <si>
    <t>A broken or missing tooth.</t>
  </si>
  <si>
    <t>Pursed lips.</t>
  </si>
  <si>
    <t>Dry, cracked lips.</t>
  </si>
  <si>
    <t>One or more false teeth.</t>
  </si>
  <si>
    <t>A mouth that hangs open.</t>
  </si>
  <si>
    <t>Nose</t>
  </si>
  <si>
    <t>A crooked nose.</t>
  </si>
  <si>
    <t>A bulbous nose.</t>
  </si>
  <si>
    <t>A narrow nose.</t>
  </si>
  <si>
    <t>A button nose.</t>
  </si>
  <si>
    <t>A long nose.</t>
  </si>
  <si>
    <t>A broad nose.</t>
  </si>
  <si>
    <t>An angular nose.</t>
  </si>
  <si>
    <t>A round nose.</t>
  </si>
  <si>
    <t>A broken nose.</t>
  </si>
  <si>
    <t>A hawk-like nose.</t>
  </si>
  <si>
    <t>A wide nose.</t>
  </si>
  <si>
    <t>A delicate nose.</t>
  </si>
  <si>
    <t>Jaw</t>
  </si>
  <si>
    <t>A pronounced chin.</t>
  </si>
  <si>
    <t>A cleft chin.</t>
  </si>
  <si>
    <t>A dimple on the chin.</t>
  </si>
  <si>
    <t>A rounded chin.</t>
  </si>
  <si>
    <t>A sharp jawline.</t>
  </si>
  <si>
    <t>A square jaw.</t>
  </si>
  <si>
    <t>A round jaw.</t>
  </si>
  <si>
    <t>An underbite.</t>
  </si>
  <si>
    <t>Hair</t>
  </si>
  <si>
    <t>Thick hair.</t>
  </si>
  <si>
    <t>Wispy hair.</t>
  </si>
  <si>
    <t>Straight hair.</t>
  </si>
  <si>
    <t>Wavy hair.</t>
  </si>
  <si>
    <t>Curly hair.</t>
  </si>
  <si>
    <t>Wiry hair.</t>
  </si>
  <si>
    <t>Oily hair.</t>
  </si>
  <si>
    <t>Lush hair.</t>
  </si>
  <si>
    <t>Poofy hair.</t>
  </si>
  <si>
    <t>Long braids.</t>
  </si>
  <si>
    <t>Braids tight against the head.</t>
  </si>
  <si>
    <t>Very long hair.</t>
  </si>
  <si>
    <t>Greasy hair.</t>
  </si>
  <si>
    <t>Unruly hair.</t>
  </si>
  <si>
    <t>An unusual hairstyle.</t>
  </si>
  <si>
    <t>An outdated hairstyle.</t>
  </si>
  <si>
    <t>A high-maintenance hairstyle.</t>
  </si>
  <si>
    <t>Short-cropped hair.</t>
  </si>
  <si>
    <t>A shaved head.</t>
  </si>
  <si>
    <t>No hair at all.</t>
  </si>
  <si>
    <t>Face</t>
  </si>
  <si>
    <t>High cheekbones.</t>
  </si>
  <si>
    <t>Tight, drawn cheeks.</t>
  </si>
  <si>
    <t>Chubby cheeks.</t>
  </si>
  <si>
    <t>An unpleasant pustule.</t>
  </si>
  <si>
    <t>A large mole.</t>
  </si>
  <si>
    <t>A beauty mark.</t>
  </si>
  <si>
    <t>Freckles.</t>
  </si>
  <si>
    <t>Terrible scarring.</t>
  </si>
  <si>
    <t>Height</t>
  </si>
  <si>
    <t>Unusually short.</t>
  </si>
  <si>
    <t>Short in stature.</t>
  </si>
  <si>
    <t>Average height.</t>
  </si>
  <si>
    <t>Slightly above average height.</t>
  </si>
  <si>
    <t>Well above average height.</t>
  </si>
  <si>
    <t>Unusually tall.</t>
  </si>
  <si>
    <t>Body</t>
  </si>
  <si>
    <t>Thin and delicate.</t>
  </si>
  <si>
    <t>Of average build.</t>
  </si>
  <si>
    <t>Well-muscled.</t>
  </si>
  <si>
    <t>Slightly overweight.</t>
  </si>
  <si>
    <t>Grotesquely obese.</t>
  </si>
  <si>
    <t>Lean and lanky.</t>
  </si>
  <si>
    <t>Lithe and lean.</t>
  </si>
  <si>
    <t>Thin and wiry.</t>
  </si>
  <si>
    <t>Sinewy and strong.</t>
  </si>
  <si>
    <t>Flabby and weak.</t>
  </si>
  <si>
    <t>Lumpy or bent.</t>
  </si>
  <si>
    <t>Thin and flimsy.</t>
  </si>
  <si>
    <t>Soft and chubby.</t>
  </si>
  <si>
    <t>Thin and petite.</t>
  </si>
  <si>
    <t>Pudgy.</t>
  </si>
  <si>
    <t>Big and broad.</t>
  </si>
  <si>
    <t>Stocky and strong.</t>
  </si>
  <si>
    <t>Bony.</t>
  </si>
  <si>
    <t>Wide and ponderous.</t>
  </si>
  <si>
    <t>Covered in hair.</t>
  </si>
  <si>
    <t>Hands</t>
  </si>
  <si>
    <t>Powerful hands.</t>
  </si>
  <si>
    <t>Delicate hands.</t>
  </si>
  <si>
    <t>Rough hands.</t>
  </si>
  <si>
    <t>Soft hands.</t>
  </si>
  <si>
    <t>A light touch.</t>
  </si>
  <si>
    <t>A heavy touch.</t>
  </si>
  <si>
    <t>Scar</t>
  </si>
  <si>
    <t>A jagged scar.</t>
  </si>
  <si>
    <t>A dark purple scar.</t>
  </si>
  <si>
    <t>An angry red scar.</t>
  </si>
  <si>
    <t>A long, thin scar.</t>
  </si>
  <si>
    <t>Tattoos</t>
  </si>
  <si>
    <t>A dagger tattoo.</t>
  </si>
  <si>
    <t>An arrow tattoo.</t>
  </si>
  <si>
    <t>An anchor tattoo.</t>
  </si>
  <si>
    <t>A skull tattoo.</t>
  </si>
  <si>
    <t>A pair of crossed bones tattoo.</t>
  </si>
  <si>
    <t>A snake tattoo.</t>
  </si>
  <si>
    <t>A scorpion tattoo.</t>
  </si>
  <si>
    <t>A spider web tattoo.</t>
  </si>
  <si>
    <t>A heart tattoo.</t>
  </si>
  <si>
    <t>A ring of thorns tattoo.</t>
  </si>
  <si>
    <t>A mermaid tattoo.</t>
  </si>
  <si>
    <t>A dragon tattoo.</t>
  </si>
  <si>
    <t>Jewelry</t>
  </si>
  <si>
    <t>An earring.</t>
  </si>
  <si>
    <t>Two earrings.</t>
  </si>
  <si>
    <t>A small chain about the neck.</t>
  </si>
  <si>
    <t>A large chain about the neck.</t>
  </si>
  <si>
    <t>A tight choker about the neck.</t>
  </si>
  <si>
    <t>A brooch.</t>
  </si>
  <si>
    <t>A ring.</t>
  </si>
  <si>
    <t>Several rings.</t>
  </si>
  <si>
    <t>A bracelet.</t>
  </si>
  <si>
    <t>A nose ring.</t>
  </si>
  <si>
    <t>A medallion.</t>
  </si>
  <si>
    <t>An ornate belt.</t>
  </si>
  <si>
    <t>Jewelry made of</t>
  </si>
  <si>
    <t>Steel.</t>
  </si>
  <si>
    <t>Bronze.</t>
  </si>
  <si>
    <t>Pewter.</t>
  </si>
  <si>
    <t>Silver.</t>
  </si>
  <si>
    <t>Gold.</t>
  </si>
  <si>
    <t>Platinum.</t>
  </si>
  <si>
    <t>Copper.</t>
  </si>
  <si>
    <t>Clothes</t>
  </si>
  <si>
    <t>Crisp and new.</t>
  </si>
  <si>
    <t>Fashionable and hip.</t>
  </si>
  <si>
    <t>A bit old-fashioned.</t>
  </si>
  <si>
    <t>Of the highest quality.</t>
  </si>
  <si>
    <t>Faded, but in good condition.</t>
  </si>
  <si>
    <t>Faded and patched.</t>
  </si>
  <si>
    <t>Torn in places; missing buttons.</t>
  </si>
  <si>
    <t>Tattered and worn.</t>
  </si>
  <si>
    <t>Calm trait</t>
  </si>
  <si>
    <t>Compassionate</t>
  </si>
  <si>
    <t>Cheerful</t>
  </si>
  <si>
    <t>Reserved</t>
  </si>
  <si>
    <t>Outspoken</t>
  </si>
  <si>
    <t>Uninterested</t>
  </si>
  <si>
    <t>Gruff</t>
  </si>
  <si>
    <t>Eager</t>
  </si>
  <si>
    <t>Deceitful</t>
  </si>
  <si>
    <t>Foolish</t>
  </si>
  <si>
    <t>Strict</t>
  </si>
  <si>
    <t>Agreeable</t>
  </si>
  <si>
    <t>Mischeivious</t>
  </si>
  <si>
    <t>Angry</t>
  </si>
  <si>
    <t>Fearful</t>
  </si>
  <si>
    <t>Manipulative</t>
  </si>
  <si>
    <t>Devout</t>
  </si>
  <si>
    <t>Greedy</t>
  </si>
  <si>
    <t>Funny</t>
  </si>
  <si>
    <t>Dour</t>
  </si>
  <si>
    <t>Fun-Loving</t>
  </si>
  <si>
    <t>Lazy</t>
  </si>
  <si>
    <t>Driven</t>
  </si>
  <si>
    <t>Boastful</t>
  </si>
  <si>
    <t>Artistic</t>
  </si>
  <si>
    <t>Assertive</t>
  </si>
  <si>
    <t>Carefree</t>
  </si>
  <si>
    <t>Cautious</t>
  </si>
  <si>
    <t>Confident</t>
  </si>
  <si>
    <t>Thoughtful</t>
  </si>
  <si>
    <t>Loyal</t>
  </si>
  <si>
    <t>Sophisticated</t>
  </si>
  <si>
    <t>Weak-Willed</t>
  </si>
  <si>
    <t>Stress trait</t>
  </si>
  <si>
    <t>Withdrawn</t>
  </si>
  <si>
    <t>Murderous</t>
  </si>
  <si>
    <t>Obsessive</t>
  </si>
  <si>
    <t>Authoritarian</t>
  </si>
  <si>
    <t>Determined</t>
  </si>
  <si>
    <t>Brave</t>
  </si>
  <si>
    <t>Spiteful</t>
  </si>
  <si>
    <t>Belligerent</t>
  </si>
  <si>
    <t>Caustic</t>
  </si>
  <si>
    <t>Reckless</t>
  </si>
  <si>
    <t>Argumentative</t>
  </si>
  <si>
    <t>Gluttonous</t>
  </si>
  <si>
    <t>Overly Protective</t>
  </si>
  <si>
    <t>Cowardly</t>
  </si>
  <si>
    <t>Meticulous</t>
  </si>
  <si>
    <t>Sarcastic</t>
  </si>
  <si>
    <t>Stubborn</t>
  </si>
  <si>
    <t>Destructive</t>
  </si>
  <si>
    <t>Practical</t>
  </si>
  <si>
    <t>Pushy</t>
  </si>
  <si>
    <t>Fanatical</t>
  </si>
  <si>
    <t>Secretive</t>
  </si>
  <si>
    <t>Scornful</t>
  </si>
  <si>
    <t>Courageous</t>
  </si>
  <si>
    <t>Impractical</t>
  </si>
  <si>
    <t>Calculating</t>
  </si>
  <si>
    <t>Industrious</t>
  </si>
  <si>
    <t>Compulsive</t>
  </si>
  <si>
    <t>Intolerant</t>
  </si>
  <si>
    <t>Current mood</t>
  </si>
  <si>
    <t>Agreeable.</t>
  </si>
  <si>
    <t>Carefree.</t>
  </si>
  <si>
    <t>Curious.</t>
  </si>
  <si>
    <t>Eager.</t>
  </si>
  <si>
    <t>Friendly.</t>
  </si>
  <si>
    <t>Happy.</t>
  </si>
  <si>
    <t>Hopeful.</t>
  </si>
  <si>
    <t>Upbeat.</t>
  </si>
  <si>
    <t>Indifferent.</t>
  </si>
  <si>
    <t>Bored.</t>
  </si>
  <si>
    <t>Focused.</t>
  </si>
  <si>
    <t>Suspicious.</t>
  </si>
  <si>
    <t>Tired.</t>
  </si>
  <si>
    <t>Withdrawn.</t>
  </si>
  <si>
    <t>Disagreeable.</t>
  </si>
  <si>
    <t>Agitated.</t>
  </si>
  <si>
    <t>Angry.</t>
  </si>
  <si>
    <t>Despondent.</t>
  </si>
  <si>
    <t>Gloomy.</t>
  </si>
  <si>
    <t>Nervous.</t>
  </si>
  <si>
    <t>Flaws</t>
  </si>
  <si>
    <t>Fidgets.</t>
  </si>
  <si>
    <t>Drinks too much.</t>
  </si>
  <si>
    <t>Eats too much.</t>
  </si>
  <si>
    <t>Swears often.</t>
  </si>
  <si>
    <t>Has poor hygiene.</t>
  </si>
  <si>
    <t>Can’t resist flirting.</t>
  </si>
  <si>
    <t>Can’t stop staring.</t>
  </si>
  <si>
    <t>Sweats profusely and easily.</t>
  </si>
  <si>
    <t>Is a habitual liar.</t>
  </si>
  <si>
    <t>Embellishes the truth.</t>
  </si>
  <si>
    <t>Exaggerates details.</t>
  </si>
  <si>
    <t>Has a short temper.</t>
  </si>
  <si>
    <t>Is melodramatic.</t>
  </si>
  <si>
    <t>Gossips.</t>
  </si>
  <si>
    <t>Chews with an open mouth.</t>
  </si>
  <si>
    <t>Often sniffs audibly.</t>
  </si>
  <si>
    <t>Believes what you tell him/her.</t>
  </si>
  <si>
    <t>Is skeptical of everything.</t>
  </si>
  <si>
    <t>Paces.</t>
  </si>
  <si>
    <t>Makes poor eye contact.</t>
  </si>
  <si>
    <t>Faith</t>
  </si>
  <si>
    <t>Quiet true believer.</t>
  </si>
  <si>
    <t>Casual observer.</t>
  </si>
  <si>
    <t>Critical student.</t>
  </si>
  <si>
    <t>Outspoken cynic.</t>
  </si>
  <si>
    <t>Open-minded seeker.</t>
  </si>
  <si>
    <t>Broken heretic.</t>
  </si>
  <si>
    <t>Cautious listener.</t>
  </si>
  <si>
    <t>Fanatical true believer.</t>
  </si>
  <si>
    <t>Prejudice</t>
  </si>
  <si>
    <t>Children</t>
  </si>
  <si>
    <t>Teenager</t>
  </si>
  <si>
    <t>Elderly</t>
  </si>
  <si>
    <t>Ruling Class and authority figures</t>
  </si>
  <si>
    <t>Powerful rich</t>
  </si>
  <si>
    <t>Destitute Poor</t>
  </si>
  <si>
    <t>Beggars</t>
  </si>
  <si>
    <t>Drunks</t>
  </si>
  <si>
    <t>Drug users</t>
  </si>
  <si>
    <t>Farmers</t>
  </si>
  <si>
    <t>Artists</t>
  </si>
  <si>
    <t>Clergy</t>
  </si>
  <si>
    <t>Soldiers</t>
  </si>
  <si>
    <t>Fishers</t>
  </si>
  <si>
    <t>Harlots</t>
  </si>
  <si>
    <t>Miners</t>
  </si>
  <si>
    <t>Merchants</t>
  </si>
  <si>
    <t>Scholars</t>
  </si>
  <si>
    <t>Herders</t>
  </si>
  <si>
    <t>Sailors</t>
  </si>
  <si>
    <t>Mages</t>
  </si>
  <si>
    <t>Dwarves</t>
  </si>
  <si>
    <t>Elves</t>
  </si>
  <si>
    <t>Gnomes</t>
  </si>
  <si>
    <t>Goblins</t>
  </si>
  <si>
    <t>Half-breeds</t>
  </si>
  <si>
    <t>Halflings</t>
  </si>
  <si>
    <t>Humans</t>
  </si>
  <si>
    <t>Orcs</t>
  </si>
  <si>
    <t>Reptilians</t>
  </si>
  <si>
    <t>Dragonborns</t>
  </si>
  <si>
    <t>Teiflings</t>
  </si>
  <si>
    <t>Normal</t>
  </si>
  <si>
    <t>Regular</t>
  </si>
  <si>
    <t>Regular hands</t>
  </si>
  <si>
    <t>No visible scars</t>
  </si>
  <si>
    <t>No visible tattoos</t>
  </si>
  <si>
    <t>No visible jewlery</t>
  </si>
  <si>
    <t>Race</t>
  </si>
  <si>
    <t>Dragonborn</t>
  </si>
  <si>
    <t>Dwarf</t>
  </si>
  <si>
    <t>Elf</t>
  </si>
  <si>
    <t>Gnome</t>
  </si>
  <si>
    <t>Halfling</t>
  </si>
  <si>
    <t>Tiefling</t>
  </si>
  <si>
    <t>Human</t>
  </si>
  <si>
    <t>Age</t>
  </si>
  <si>
    <t>Young</t>
  </si>
  <si>
    <t>Child</t>
  </si>
  <si>
    <t>Young adult</t>
  </si>
  <si>
    <t>Adult</t>
  </si>
  <si>
    <t>Middle aged</t>
  </si>
  <si>
    <t>Apperance</t>
  </si>
  <si>
    <t>Behaviour</t>
  </si>
  <si>
    <t>Calm Trait</t>
  </si>
  <si>
    <t>Stress Trait</t>
  </si>
  <si>
    <t>NPC Name</t>
  </si>
  <si>
    <t>Gender</t>
  </si>
  <si>
    <t>Male</t>
  </si>
  <si>
    <t>Female</t>
  </si>
  <si>
    <t>Male Names</t>
  </si>
  <si>
    <t>Female Names</t>
  </si>
  <si>
    <t>Aćim</t>
  </si>
  <si>
    <t>Aleksej</t>
  </si>
  <si>
    <t>Aleksije</t>
  </si>
  <si>
    <t>Aljoša</t>
  </si>
  <si>
    <t>Anastasije</t>
  </si>
  <si>
    <t>Andreja</t>
  </si>
  <si>
    <t>Andrija</t>
  </si>
  <si>
    <t>Antonije</t>
  </si>
  <si>
    <t>Arsenije</t>
  </si>
  <si>
    <t>Atanasije</t>
  </si>
  <si>
    <t>Berislav</t>
  </si>
  <si>
    <t>Blagoje</t>
  </si>
  <si>
    <t>Boban</t>
  </si>
  <si>
    <t>Bogdan</t>
  </si>
  <si>
    <t>Bogoljub</t>
  </si>
  <si>
    <t>Bojan</t>
  </si>
  <si>
    <t>Borimir</t>
  </si>
  <si>
    <t>Borislav</t>
  </si>
  <si>
    <t>Borivoje</t>
  </si>
  <si>
    <t>Boško</t>
  </si>
  <si>
    <t>Božidar</t>
  </si>
  <si>
    <t>Božo</t>
  </si>
  <si>
    <t>Brajan</t>
  </si>
  <si>
    <t>Brajko</t>
  </si>
  <si>
    <t>Branimir</t>
  </si>
  <si>
    <t>Branislav</t>
  </si>
  <si>
    <t>Branko</t>
  </si>
  <si>
    <t>Bratislav</t>
  </si>
  <si>
    <t>Budimir</t>
  </si>
  <si>
    <t>Čedomir</t>
  </si>
  <si>
    <t>Cvijan</t>
  </si>
  <si>
    <t>Danilo</t>
  </si>
  <si>
    <t>Dabiživ</t>
  </si>
  <si>
    <t>Damir</t>
  </si>
  <si>
    <t>Danijel</t>
  </si>
  <si>
    <t>Dejan</t>
  </si>
  <si>
    <t>Desimir</t>
  </si>
  <si>
    <t>Dimitrije</t>
  </si>
  <si>
    <t>Đoka</t>
  </si>
  <si>
    <t>Djoko</t>
  </si>
  <si>
    <t>Đuraš</t>
  </si>
  <si>
    <t>Dobrivoje</t>
  </si>
  <si>
    <t>Dobroslav</t>
  </si>
  <si>
    <t>Đorđe</t>
  </si>
  <si>
    <t>Dragan</t>
  </si>
  <si>
    <t>Dragiša</t>
  </si>
  <si>
    <t>Dragoje</t>
  </si>
  <si>
    <t>Dragojlo</t>
  </si>
  <si>
    <t>Dragoljub</t>
  </si>
  <si>
    <t>Dragomir</t>
  </si>
  <si>
    <t>Dragoslav</t>
  </si>
  <si>
    <t>Dragutin</t>
  </si>
  <si>
    <t>Draško</t>
  </si>
  <si>
    <t>Dražeta</t>
  </si>
  <si>
    <t>Dubravko</t>
  </si>
  <si>
    <t>Đura</t>
  </si>
  <si>
    <t>Đurađ</t>
  </si>
  <si>
    <t>Đuro</t>
  </si>
  <si>
    <t>Dušan</t>
  </si>
  <si>
    <t>Duško</t>
  </si>
  <si>
    <t>Filip</t>
  </si>
  <si>
    <t>Filotije</t>
  </si>
  <si>
    <t>Gavrilo</t>
  </si>
  <si>
    <t>Georgije</t>
  </si>
  <si>
    <t>Gerasim</t>
  </si>
  <si>
    <t>Gligorije</t>
  </si>
  <si>
    <t>Gojko</t>
  </si>
  <si>
    <t>Gordan</t>
  </si>
  <si>
    <t>Grgur</t>
  </si>
  <si>
    <t>Grigorije</t>
  </si>
  <si>
    <t>Hvalimir</t>
  </si>
  <si>
    <t>Ignjat</t>
  </si>
  <si>
    <t>Ignjatije</t>
  </si>
  <si>
    <t>Ilarion</t>
  </si>
  <si>
    <t>Ivan</t>
  </si>
  <si>
    <t>Ivica</t>
  </si>
  <si>
    <t>Jadranko</t>
  </si>
  <si>
    <t>Jakov</t>
  </si>
  <si>
    <t>Janko</t>
  </si>
  <si>
    <t>Jasmina</t>
  </si>
  <si>
    <t>Jezdimir</t>
  </si>
  <si>
    <t>Joanikije</t>
  </si>
  <si>
    <t>Josif</t>
  </si>
  <si>
    <t>Jovica</t>
  </si>
  <si>
    <t>Junije</t>
  </si>
  <si>
    <t>Kalinik</t>
  </si>
  <si>
    <t>Kirilo</t>
  </si>
  <si>
    <t>Kristijan</t>
  </si>
  <si>
    <t>Krsto</t>
  </si>
  <si>
    <t>Kuzman</t>
  </si>
  <si>
    <t>Lješ</t>
  </si>
  <si>
    <t>Ljubiša</t>
  </si>
  <si>
    <t>Ljubisav</t>
  </si>
  <si>
    <t>Ljubo</t>
  </si>
  <si>
    <t>Lubomir</t>
  </si>
  <si>
    <t>Mardarije</t>
  </si>
  <si>
    <t>Marinko</t>
  </si>
  <si>
    <t>Mateja</t>
  </si>
  <si>
    <t>Matija</t>
  </si>
  <si>
    <t>Mihailo</t>
  </si>
  <si>
    <t>Mihajlo</t>
  </si>
  <si>
    <t>Mijailo</t>
  </si>
  <si>
    <t>Mijat</t>
  </si>
  <si>
    <t>Miladin</t>
  </si>
  <si>
    <t>Milenko</t>
  </si>
  <si>
    <t>Mileta</t>
  </si>
  <si>
    <t>Milić</t>
  </si>
  <si>
    <t>Milisav</t>
  </si>
  <si>
    <t>Milivoj</t>
  </si>
  <si>
    <t>Milivoje</t>
  </si>
  <si>
    <t>Miljan</t>
  </si>
  <si>
    <t>Miljko</t>
  </si>
  <si>
    <t>Miloje</t>
  </si>
  <si>
    <t>Milojko</t>
  </si>
  <si>
    <t>Milomir</t>
  </si>
  <si>
    <t>Milorad</t>
  </si>
  <si>
    <t>Miloš</t>
  </si>
  <si>
    <t>Milosav</t>
  </si>
  <si>
    <t>Milovan</t>
  </si>
  <si>
    <t>Milutin</t>
  </si>
  <si>
    <t>Miodrag</t>
  </si>
  <si>
    <t>Miomir</t>
  </si>
  <si>
    <t>Mirko</t>
  </si>
  <si>
    <t>Miroljub</t>
  </si>
  <si>
    <t>Miško</t>
  </si>
  <si>
    <t>Mitar</t>
  </si>
  <si>
    <t>Mladen</t>
  </si>
  <si>
    <t>Mojsije</t>
  </si>
  <si>
    <t>Momčilo</t>
  </si>
  <si>
    <t>Momir</t>
  </si>
  <si>
    <t>Nebojša</t>
  </si>
  <si>
    <t>Nectarios</t>
  </si>
  <si>
    <t>Nedeljko</t>
  </si>
  <si>
    <t>Nemanja</t>
  </si>
  <si>
    <t>Nenad</t>
  </si>
  <si>
    <t>Nikola</t>
  </si>
  <si>
    <t>Nikša</t>
  </si>
  <si>
    <t>Obrad</t>
  </si>
  <si>
    <t>Obren</t>
  </si>
  <si>
    <t>Ognjen</t>
  </si>
  <si>
    <t>Ostoja</t>
  </si>
  <si>
    <t>Pavle</t>
  </si>
  <si>
    <t>Perica</t>
  </si>
  <si>
    <t>Petar</t>
  </si>
  <si>
    <t>Petko</t>
  </si>
  <si>
    <t>Predislav</t>
  </si>
  <si>
    <t>Predrag</t>
  </si>
  <si>
    <t>Pribislav</t>
  </si>
  <si>
    <t>Prodan</t>
  </si>
  <si>
    <t>Prvoslav</t>
  </si>
  <si>
    <t>Radenko</t>
  </si>
  <si>
    <t>Radič</t>
  </si>
  <si>
    <t>Radiša</t>
  </si>
  <si>
    <t>Radivoj</t>
  </si>
  <si>
    <t>Radivoje</t>
  </si>
  <si>
    <t>Radmilo</t>
  </si>
  <si>
    <t>Radoje</t>
  </si>
  <si>
    <t>Radojko</t>
  </si>
  <si>
    <t>Radonja</t>
  </si>
  <si>
    <t>Radoš</t>
  </si>
  <si>
    <t>Radosav</t>
  </si>
  <si>
    <t>Radoslav</t>
  </si>
  <si>
    <t>Radovan</t>
  </si>
  <si>
    <t>Radul</t>
  </si>
  <si>
    <t>Rajko</t>
  </si>
  <si>
    <t>Ranko</t>
  </si>
  <si>
    <t>Ratimir</t>
  </si>
  <si>
    <t>Ratko</t>
  </si>
  <si>
    <t>Ratomir</t>
  </si>
  <si>
    <t>Repoš</t>
  </si>
  <si>
    <t>Risto</t>
  </si>
  <si>
    <t>Rodoljub</t>
  </si>
  <si>
    <t>Ruvim</t>
  </si>
  <si>
    <t>Saša</t>
  </si>
  <si>
    <t>Savatije</t>
  </si>
  <si>
    <t>Simeon</t>
  </si>
  <si>
    <t>Siniša</t>
  </si>
  <si>
    <t>Slaviša</t>
  </si>
  <si>
    <t>Slavko</t>
  </si>
  <si>
    <t>Slavoljub</t>
  </si>
  <si>
    <t>Slavomir</t>
  </si>
  <si>
    <t>Slobodan</t>
  </si>
  <si>
    <t>Spasoje</t>
  </si>
  <si>
    <t>Srđan</t>
  </si>
  <si>
    <t>Srećko</t>
  </si>
  <si>
    <t>Sreten</t>
  </si>
  <si>
    <t>Stanimir</t>
  </si>
  <si>
    <t>Staniša</t>
  </si>
  <si>
    <t>Stanko</t>
  </si>
  <si>
    <t>Stanoje</t>
  </si>
  <si>
    <t>Stevo</t>
  </si>
  <si>
    <t>Stjepan</t>
  </si>
  <si>
    <t>Stojan</t>
  </si>
  <si>
    <t>Stracimir</t>
  </si>
  <si>
    <t>Strahinja</t>
  </si>
  <si>
    <t>Svetislav</t>
  </si>
  <si>
    <t>Svetozar</t>
  </si>
  <si>
    <t>Tadija</t>
  </si>
  <si>
    <t>Tanasko</t>
  </si>
  <si>
    <t>Teodor</t>
  </si>
  <si>
    <t>Teodosije</t>
  </si>
  <si>
    <t>Tihomir</t>
  </si>
  <si>
    <t>Todor</t>
  </si>
  <si>
    <t>Tomislav</t>
  </si>
  <si>
    <t>Tomo</t>
  </si>
  <si>
    <t>Trifun</t>
  </si>
  <si>
    <t>Uglješa</t>
  </si>
  <si>
    <t>Uroš</t>
  </si>
  <si>
    <t>Vanja</t>
  </si>
  <si>
    <t>Vasilije</t>
  </si>
  <si>
    <t>Velibor</t>
  </si>
  <si>
    <t>Velichko</t>
  </si>
  <si>
    <t>Velimir</t>
  </si>
  <si>
    <t>Velizar</t>
  </si>
  <si>
    <t>Veljko</t>
  </si>
  <si>
    <t>Veselin</t>
  </si>
  <si>
    <t>Vidak</t>
  </si>
  <si>
    <t>Vidoje</t>
  </si>
  <si>
    <t>Vikentije</t>
  </si>
  <si>
    <t>Višeslav</t>
  </si>
  <si>
    <t>Vitomir</t>
  </si>
  <si>
    <t>Vlada</t>
  </si>
  <si>
    <t>Vladan</t>
  </si>
  <si>
    <t>Vlade</t>
  </si>
  <si>
    <t>Vladeta</t>
  </si>
  <si>
    <t>Vladislav</t>
  </si>
  <si>
    <t>Vlado</t>
  </si>
  <si>
    <t>Vladoje</t>
  </si>
  <si>
    <t>Vlatko</t>
  </si>
  <si>
    <t>Vojin</t>
  </si>
  <si>
    <t>Vojislav</t>
  </si>
  <si>
    <t>Vojkan</t>
  </si>
  <si>
    <t>Vujadin</t>
  </si>
  <si>
    <t>Vukajlo</t>
  </si>
  <si>
    <t>Vukan</t>
  </si>
  <si>
    <t>Vukašin</t>
  </si>
  <si>
    <t>Vukmir</t>
  </si>
  <si>
    <t>Vukota</t>
  </si>
  <si>
    <t>Vuksan</t>
  </si>
  <si>
    <t>Zaharija</t>
  </si>
  <si>
    <t>Žarko</t>
  </si>
  <si>
    <t>Zdravko</t>
  </si>
  <si>
    <t>Želimir</t>
  </si>
  <si>
    <t>Željko</t>
  </si>
  <si>
    <t>Živan</t>
  </si>
  <si>
    <t>Živko</t>
  </si>
  <si>
    <t>Živojin</t>
  </si>
  <si>
    <t>Živorad</t>
  </si>
  <si>
    <t>Zlatan</t>
  </si>
  <si>
    <t>Zlatko</t>
  </si>
  <si>
    <t>Zoran</t>
  </si>
  <si>
    <t>Zvezdan</t>
  </si>
  <si>
    <t>Zvonimir</t>
  </si>
  <si>
    <t>Zvonko</t>
  </si>
  <si>
    <t xml:space="preserve">Aleksa </t>
  </si>
  <si>
    <t xml:space="preserve">Anton </t>
  </si>
  <si>
    <t xml:space="preserve">Avram </t>
  </si>
  <si>
    <t xml:space="preserve">Boris </t>
  </si>
  <si>
    <t xml:space="preserve">Damjan </t>
  </si>
  <si>
    <t xml:space="preserve">Danko </t>
  </si>
  <si>
    <t xml:space="preserve">Darko </t>
  </si>
  <si>
    <t xml:space="preserve">Drago </t>
  </si>
  <si>
    <t xml:space="preserve">Ilija </t>
  </si>
  <si>
    <t xml:space="preserve">Jovan </t>
  </si>
  <si>
    <t xml:space="preserve">Kosta </t>
  </si>
  <si>
    <t xml:space="preserve">Ljuba </t>
  </si>
  <si>
    <t xml:space="preserve">Marko </t>
  </si>
  <si>
    <t xml:space="preserve">Milan </t>
  </si>
  <si>
    <t xml:space="preserve">Mile </t>
  </si>
  <si>
    <t xml:space="preserve">Miroslav </t>
  </si>
  <si>
    <t xml:space="preserve">Neven </t>
  </si>
  <si>
    <t xml:space="preserve">Novica </t>
  </si>
  <si>
    <t xml:space="preserve">Oliver </t>
  </si>
  <si>
    <t xml:space="preserve">Paja </t>
  </si>
  <si>
    <t xml:space="preserve">Radomir </t>
  </si>
  <si>
    <t xml:space="preserve">Savo </t>
  </si>
  <si>
    <t xml:space="preserve">Simo </t>
  </si>
  <si>
    <t xml:space="preserve">Slaven </t>
  </si>
  <si>
    <t xml:space="preserve">Smiljan </t>
  </si>
  <si>
    <t xml:space="preserve">Stanislav </t>
  </si>
  <si>
    <t xml:space="preserve">Stefan </t>
  </si>
  <si>
    <t xml:space="preserve">Časlav </t>
  </si>
  <si>
    <t xml:space="preserve">Dalibor </t>
  </si>
  <si>
    <t xml:space="preserve">David </t>
  </si>
  <si>
    <t xml:space="preserve">Davor </t>
  </si>
  <si>
    <t xml:space="preserve">Dren </t>
  </si>
  <si>
    <t xml:space="preserve">Lazar </t>
  </si>
  <si>
    <t xml:space="preserve">Marjan </t>
  </si>
  <si>
    <t xml:space="preserve">Milko </t>
  </si>
  <si>
    <t xml:space="preserve">Mita </t>
  </si>
  <si>
    <t xml:space="preserve">Neno </t>
  </si>
  <si>
    <t xml:space="preserve">Pero </t>
  </si>
  <si>
    <t xml:space="preserve">Sava </t>
  </si>
  <si>
    <t xml:space="preserve">Toma </t>
  </si>
  <si>
    <t xml:space="preserve">Vasa </t>
  </si>
  <si>
    <t xml:space="preserve">Vlastimir </t>
  </si>
  <si>
    <t xml:space="preserve">Vuk </t>
  </si>
  <si>
    <t>Adrijana</t>
  </si>
  <si>
    <t>Alexandra</t>
  </si>
  <si>
    <t>Anamarija</t>
  </si>
  <si>
    <t>Anastasija</t>
  </si>
  <si>
    <t>Anđela</t>
  </si>
  <si>
    <t>Andrea</t>
  </si>
  <si>
    <t>Andrijana</t>
  </si>
  <si>
    <t>Anica</t>
  </si>
  <si>
    <t>Antonija</t>
  </si>
  <si>
    <t>Anya</t>
  </si>
  <si>
    <t>Branka</t>
  </si>
  <si>
    <t>Brankica</t>
  </si>
  <si>
    <t>Danijela</t>
  </si>
  <si>
    <t>Danka</t>
  </si>
  <si>
    <t>Dijana</t>
  </si>
  <si>
    <t>Dragica</t>
  </si>
  <si>
    <t>Draginja</t>
  </si>
  <si>
    <t>Dunja</t>
  </si>
  <si>
    <t>Evdokija</t>
  </si>
  <si>
    <t>Galina</t>
  </si>
  <si>
    <t>Gorana</t>
  </si>
  <si>
    <t>Gordana</t>
  </si>
  <si>
    <t>Irina</t>
  </si>
  <si>
    <t>Ivana</t>
  </si>
  <si>
    <t>Izolda</t>
  </si>
  <si>
    <t>Jadranka</t>
  </si>
  <si>
    <t>Jelena</t>
  </si>
  <si>
    <t>Jovana</t>
  </si>
  <si>
    <t>Julija</t>
  </si>
  <si>
    <t>Katerina</t>
  </si>
  <si>
    <t>Katya</t>
  </si>
  <si>
    <t>Leposava</t>
  </si>
  <si>
    <t>Lidija</t>
  </si>
  <si>
    <t>Ljiljana</t>
  </si>
  <si>
    <t>Ljubica</t>
  </si>
  <si>
    <t>Marija</t>
  </si>
  <si>
    <t>Marijana</t>
  </si>
  <si>
    <t>Melania</t>
  </si>
  <si>
    <t>Milica</t>
  </si>
  <si>
    <t>Mirjana</t>
  </si>
  <si>
    <t>Nadia</t>
  </si>
  <si>
    <t>Nadica</t>
  </si>
  <si>
    <t>Nastja</t>
  </si>
  <si>
    <t>Natasha</t>
  </si>
  <si>
    <t>Nevena</t>
  </si>
  <si>
    <t>Nevenka</t>
  </si>
  <si>
    <t>Nikolina</t>
  </si>
  <si>
    <t>Olgica</t>
  </si>
  <si>
    <t>Radmila</t>
  </si>
  <si>
    <t>Ruža</t>
  </si>
  <si>
    <t>Sanja</t>
  </si>
  <si>
    <t>Silvija</t>
  </si>
  <si>
    <t>Slađana</t>
  </si>
  <si>
    <t>Slavica</t>
  </si>
  <si>
    <t>Smilja</t>
  </si>
  <si>
    <t>Snežana</t>
  </si>
  <si>
    <t>Stanislava</t>
  </si>
  <si>
    <t>Stefana</t>
  </si>
  <si>
    <t>Suzana</t>
  </si>
  <si>
    <t>Svjetlana</t>
  </si>
  <si>
    <t>Tanja</t>
  </si>
  <si>
    <t>Tatiana</t>
  </si>
  <si>
    <t>Teodora</t>
  </si>
  <si>
    <t>Tijana</t>
  </si>
  <si>
    <t>Vida</t>
  </si>
  <si>
    <t>Vladana</t>
  </si>
  <si>
    <t>Vlatka</t>
  </si>
  <si>
    <t>Vojislava</t>
  </si>
  <si>
    <t>Yolonda</t>
  </si>
  <si>
    <t>Željka</t>
  </si>
  <si>
    <t>Zlata</t>
  </si>
  <si>
    <t>Zorica</t>
  </si>
  <si>
    <t>Zorka</t>
  </si>
  <si>
    <t xml:space="preserve">Anka </t>
  </si>
  <si>
    <t xml:space="preserve">Biljana </t>
  </si>
  <si>
    <t xml:space="preserve">Kata </t>
  </si>
  <si>
    <t xml:space="preserve">Mirna </t>
  </si>
  <si>
    <t xml:space="preserve">Nina </t>
  </si>
  <si>
    <t xml:space="preserve">Olga </t>
  </si>
  <si>
    <t xml:space="preserve">Stefania </t>
  </si>
  <si>
    <t xml:space="preserve">Tanya </t>
  </si>
  <si>
    <t xml:space="preserve">Veronica </t>
  </si>
  <si>
    <t xml:space="preserve">Zora </t>
  </si>
  <si>
    <t xml:space="preserve">Ana </t>
  </si>
  <si>
    <t xml:space="preserve">Bojana </t>
  </si>
  <si>
    <t xml:space="preserve">Borka </t>
  </si>
  <si>
    <t xml:space="preserve">Bratislava </t>
  </si>
  <si>
    <t xml:space="preserve">Danica </t>
  </si>
  <si>
    <t xml:space="preserve">Dora </t>
  </si>
  <si>
    <t xml:space="preserve">Draga </t>
  </si>
  <si>
    <t xml:space="preserve">Elena </t>
  </si>
  <si>
    <t xml:space="preserve">Iva </t>
  </si>
  <si>
    <t xml:space="preserve">Jasna </t>
  </si>
  <si>
    <t xml:space="preserve">Katarina </t>
  </si>
  <si>
    <t xml:space="preserve">Lada </t>
  </si>
  <si>
    <t xml:space="preserve">Ludmila </t>
  </si>
  <si>
    <t xml:space="preserve">Magdalena </t>
  </si>
  <si>
    <t xml:space="preserve">Maja </t>
  </si>
  <si>
    <t xml:space="preserve">Maria </t>
  </si>
  <si>
    <t xml:space="preserve">Marina </t>
  </si>
  <si>
    <t xml:space="preserve">Marta </t>
  </si>
  <si>
    <t xml:space="preserve">Melina </t>
  </si>
  <si>
    <t xml:space="preserve">Mia </t>
  </si>
  <si>
    <t xml:space="preserve">Mila </t>
  </si>
  <si>
    <t xml:space="preserve">Milena </t>
  </si>
  <si>
    <t xml:space="preserve">Milka </t>
  </si>
  <si>
    <t xml:space="preserve">Mina </t>
  </si>
  <si>
    <t xml:space="preserve">Mira </t>
  </si>
  <si>
    <t xml:space="preserve">Monika </t>
  </si>
  <si>
    <t xml:space="preserve">Nada </t>
  </si>
  <si>
    <t xml:space="preserve">Nadezhda </t>
  </si>
  <si>
    <t xml:space="preserve">Nadja </t>
  </si>
  <si>
    <t xml:space="preserve">Petra </t>
  </si>
  <si>
    <t xml:space="preserve">Ruslana </t>
  </si>
  <si>
    <t xml:space="preserve">Ružica </t>
  </si>
  <si>
    <t xml:space="preserve">Sofija </t>
  </si>
  <si>
    <t xml:space="preserve">Tamara </t>
  </si>
  <si>
    <t xml:space="preserve">Valeria </t>
  </si>
  <si>
    <t xml:space="preserve">Vera </t>
  </si>
  <si>
    <t xml:space="preserve">Vesna </t>
  </si>
  <si>
    <t xml:space="preserve">Viktorija </t>
  </si>
  <si>
    <t xml:space="preserve">Violeta </t>
  </si>
  <si>
    <t xml:space="preserve">Goran </t>
  </si>
  <si>
    <t>Notes</t>
  </si>
  <si>
    <t>A wildling orphan.</t>
  </si>
  <si>
    <t>A seasoned herbalist.</t>
  </si>
  <si>
    <t>A militant environmentalist.</t>
  </si>
  <si>
    <t>A well-known healer.</t>
  </si>
  <si>
    <t>A brash, young fool.</t>
  </si>
  <si>
    <t>A rebellious noble.</t>
  </si>
  <si>
    <t>A patient teacher.</t>
  </si>
  <si>
    <t>A mysterious foreigner.</t>
  </si>
  <si>
    <t>A beautiful maiden.</t>
  </si>
  <si>
    <t>A rugged outdoorsman.</t>
  </si>
  <si>
    <t>A veteran wilderness guide.</t>
  </si>
  <si>
    <t>A beastly brute.</t>
  </si>
  <si>
    <t>A dark-hearted avenger.</t>
  </si>
  <si>
    <t>A curious philosopher.</t>
  </si>
  <si>
    <t>A shy beastfriend.</t>
  </si>
  <si>
    <t>A fierce guardian.</t>
  </si>
  <si>
    <t>An exiled spellcaster.</t>
  </si>
  <si>
    <t>A mystic shaman.</t>
  </si>
  <si>
    <t>A savage priest or priestess.</t>
  </si>
  <si>
    <t>A village elder.</t>
  </si>
  <si>
    <t>Druid Background</t>
  </si>
  <si>
    <t>Druid Training</t>
  </si>
  <si>
    <t>Apprenticing to a woodland witch.</t>
  </si>
  <si>
    <t>Studying wilderness lore at an academy.</t>
  </si>
  <si>
    <t>A parent who was also a druid. </t>
  </si>
  <si>
    <t>Running a menagerie or garden for royalty.</t>
  </si>
  <si>
    <t>An enchanted beast. </t>
  </si>
  <si>
    <t>Studying old books. </t>
  </si>
  <si>
    <t>The circle of druids that took him/her in as a child. </t>
  </si>
  <si>
    <t>A fey creature that offered redemption for past transgressions against nature. </t>
  </si>
  <si>
    <t>A mysterious village elder. </t>
  </si>
  <si>
    <t>Time spent stranded in a wild, foreign land. </t>
  </si>
  <si>
    <t>Druid Eyes</t>
  </si>
  <si>
    <t>Sky blue eyes. </t>
  </si>
  <si>
    <t>Deep sea blue eyes. </t>
  </si>
  <si>
    <t>Bright grass green eyes. </t>
  </si>
  <si>
    <t>Sunset golden eyes. </t>
  </si>
  <si>
    <t>Pale moss green eyes. </t>
  </si>
  <si>
    <t>Muddy brown eyes. </t>
  </si>
  <si>
    <t>Dark, stormy grey eyes. </t>
  </si>
  <si>
    <t>Night-sky purple eyes. </t>
  </si>
  <si>
    <t>Dusty brown eyes. </t>
  </si>
  <si>
    <t>Stony grey eyes. </t>
  </si>
  <si>
    <t>Druid Trait</t>
  </si>
  <si>
    <t>An earthy scent. </t>
  </si>
  <si>
    <t>Bits of green under the fingernails.</t>
  </si>
  <si>
    <t>Stains of bird droppings on his/her clothes.</t>
  </si>
  <si>
    <t>A long, hooked, beak-like nose.</t>
  </si>
  <si>
    <t>Large bear-like shoulders and hands.</t>
  </si>
  <si>
    <t>A pointy, rodent-like nose. </t>
  </si>
  <si>
    <t>Very hairy arms and legs. </t>
  </si>
  <si>
    <t>Long, sharp fingernails. </t>
  </si>
  <si>
    <t>Beautiful, healthy skin. </t>
  </si>
  <si>
    <t>A greenish, mossy beard. </t>
  </si>
  <si>
    <t>Druid Mannerism</t>
  </si>
  <si>
    <t>Stares hungrily like a wolf. </t>
  </si>
  <si>
    <t>Stares suspiciously like a cat. </t>
  </si>
  <si>
    <t>Hisses like a snake when he/she laughs.</t>
  </si>
  <si>
    <t>Barks like a seal when he/she laughs.</t>
  </si>
  <si>
    <t>Twitters like a bird when he/she laughs.</t>
  </si>
  <si>
    <t>Walks ponderously like an ox. </t>
  </si>
  <si>
    <t>Walks gracefully like a panther.</t>
  </si>
  <si>
    <t>Eats like a horse. </t>
  </si>
  <si>
    <t>Eats like a bird. </t>
  </si>
  <si>
    <t>Speaks very little. </t>
  </si>
  <si>
    <t>Fidgets like a squirrel. </t>
  </si>
  <si>
    <t>Pounces like a lion. </t>
  </si>
  <si>
    <t>Aquatic mammals. </t>
  </si>
  <si>
    <t>Bears. </t>
  </si>
  <si>
    <t>Birds of prey. </t>
  </si>
  <si>
    <t>Cats. </t>
  </si>
  <si>
    <t>Hoofed mammals. </t>
  </si>
  <si>
    <t>Reptiles and amphibians. </t>
  </si>
  <si>
    <t>Songbirds and waterfowl. </t>
  </si>
  <si>
    <t>Wolves and dogs. </t>
  </si>
  <si>
    <t>Blizzards and snowstorms. </t>
  </si>
  <si>
    <t>Hurricanes and tides. </t>
  </si>
  <si>
    <t>Volcanoes, geysers, and hot springs.</t>
  </si>
  <si>
    <t>Earthquakes. </t>
  </si>
  <si>
    <t>Thunderstorms and floods. </t>
  </si>
  <si>
    <t>Forests and trees. </t>
  </si>
  <si>
    <t>Mountains and stone. </t>
  </si>
  <si>
    <t>Caves and shadows. </t>
  </si>
  <si>
    <t>Jungles and rainstorms. </t>
  </si>
  <si>
    <t>Glaciers and tundra. </t>
  </si>
  <si>
    <t>Deserts and sand. </t>
  </si>
  <si>
    <t>Swamps and marshes. </t>
  </si>
  <si>
    <t>Druid Special Wild Connection</t>
  </si>
  <si>
    <t>Druid Weapon</t>
  </si>
  <si>
    <t>A wood staff.</t>
  </si>
  <si>
    <t>A dagger. </t>
  </si>
  <si>
    <t>A wood club.</t>
  </si>
  <si>
    <t>A club and a shield.</t>
  </si>
  <si>
    <t>A scimitar.</t>
  </si>
  <si>
    <t>A scimitar and a shield.</t>
  </si>
  <si>
    <t>A spear.</t>
  </si>
  <si>
    <t>A spear and a shield. </t>
  </si>
  <si>
    <t>Druidic Focus</t>
  </si>
  <si>
    <t>A sprig of holly. </t>
  </si>
  <si>
    <t>A sprig of mistletoe. </t>
  </si>
  <si>
    <t>A yew wand. </t>
  </si>
  <si>
    <t>A cutting from a rare plant. </t>
  </si>
  <si>
    <t>A totem necklace of beasts</t>
  </si>
  <si>
    <t>A totem necklace of plants</t>
  </si>
  <si>
    <t>A totem rod of beasts</t>
  </si>
  <si>
    <t>A totem rod of plants</t>
  </si>
  <si>
    <t>Bones</t>
  </si>
  <si>
    <t>Feathers</t>
  </si>
  <si>
    <t>Fur</t>
  </si>
  <si>
    <t>Scales</t>
  </si>
  <si>
    <t>Skull</t>
  </si>
  <si>
    <t>Teeth</t>
  </si>
  <si>
    <t>Focus of Beasts</t>
  </si>
  <si>
    <t>Focus of Plants</t>
  </si>
  <si>
    <t>Berries</t>
  </si>
  <si>
    <t>Tree Bark</t>
  </si>
  <si>
    <t>Fragnant Herbs</t>
  </si>
  <si>
    <t>Fresh Leaves</t>
  </si>
  <si>
    <t>Runes carved into wood</t>
  </si>
  <si>
    <t>Seeds and tree sap</t>
  </si>
  <si>
    <t>Possessions</t>
  </si>
  <si>
    <t>A small knife. </t>
  </si>
  <si>
    <t>A wooden flute. </t>
  </si>
  <si>
    <t>A hunting horn. </t>
  </si>
  <si>
    <t>A shard of obsidian, warm to the touch.</t>
  </si>
  <si>
    <t>A piece of crystal that glows in moonlight.</t>
  </si>
  <si>
    <t>A small pouch full of seeds. </t>
  </si>
  <si>
    <t>A small pouch full of herbal tea.</t>
  </si>
  <si>
    <t>Several vials of herbal extracts.</t>
  </si>
  <si>
    <t>A pair of herb snips </t>
  </si>
  <si>
    <t>A pocketbook field guide to flora and fauna in a region the druid has never visited.</t>
  </si>
  <si>
    <t>A book of Elvish poems and songs.</t>
  </si>
  <si>
    <t>Several vials of healing potions.</t>
  </si>
  <si>
    <t>Druid Possessions</t>
  </si>
  <si>
    <t>Druid Clothes</t>
  </si>
  <si>
    <t>Robes of earth tones. </t>
  </si>
  <si>
    <t>A dark green cape. </t>
  </si>
  <si>
    <t>Shiny leather boots with fur. </t>
  </si>
  <si>
    <t>Boots of soft leather. </t>
  </si>
  <si>
    <t>A leather baldric. </t>
  </si>
  <si>
    <t>Leather armor decorated with leafy motifs.</t>
  </si>
  <si>
    <t>Armor made from the hides of beasts.</t>
  </si>
  <si>
    <t>Leather armor studded with bone.</t>
  </si>
  <si>
    <t>A robe stained with bird droppings.</t>
  </si>
  <si>
    <t>A robe with vines growing from its pockets. </t>
  </si>
  <si>
    <t>Druid Goal</t>
  </si>
  <si>
    <t>Find a place where a rare herb grows.</t>
  </si>
  <si>
    <t>Drive away an unnatural intruder.</t>
  </si>
  <si>
    <t>Lead intruders into a trap. </t>
  </si>
  <si>
    <t>Help a wounded, legendary beast.</t>
  </si>
  <si>
    <t>Permanently transform into a beast.</t>
  </si>
  <si>
    <t>Locate a legendary garden or grove.</t>
  </si>
  <si>
    <t>Stop the spread of mining or grazing.</t>
  </si>
  <si>
    <t>Swap recipes and herb lore. </t>
  </si>
  <si>
    <t>Bear witness to nature’s awesome power.</t>
  </si>
  <si>
    <t>Provide a safe haven for a hunted beast.</t>
  </si>
  <si>
    <t>Inspire a love for nature. </t>
  </si>
  <si>
    <t>Drink some tea mixed with strong spirits.</t>
  </si>
  <si>
    <t>Druid Herb Remedy Purpose</t>
  </si>
  <si>
    <t>A wound heal more quickly. </t>
  </si>
  <si>
    <t>To reduce pain. </t>
  </si>
  <si>
    <t>To prevent infection in a wound.</t>
  </si>
  <si>
    <t>To lower a fever. </t>
  </si>
  <si>
    <t>To clear out congestion. </t>
  </si>
  <si>
    <t>To reduce itchiness. </t>
  </si>
  <si>
    <t>To recover one’s strength. </t>
  </si>
  <si>
    <t>To prevent nausea. </t>
  </si>
  <si>
    <t>To cure indigestion. </t>
  </si>
  <si>
    <t>One stay awake. </t>
  </si>
  <si>
    <t>One fall asleep. </t>
  </si>
  <si>
    <t>To make one young or vigorous.</t>
  </si>
  <si>
    <t>Druid Remedy Form</t>
  </si>
  <si>
    <t>A thick paste.</t>
  </si>
  <si>
    <t>A thin paste.</t>
  </si>
  <si>
    <t>A specially treated leaf.</t>
  </si>
  <si>
    <t>A fluffy powder.</t>
  </si>
  <si>
    <t>Olive green. </t>
  </si>
  <si>
    <t>A crystalline substance.</t>
  </si>
  <si>
    <t>A lotion or balm.</t>
  </si>
  <si>
    <t>An unpalatable potion.</t>
  </si>
  <si>
    <t>A sweet-tasting potion.</t>
  </si>
  <si>
    <t>A strong tea.</t>
  </si>
  <si>
    <t>A fragrant tea.</t>
  </si>
  <si>
    <t>Druid Remedy Color</t>
  </si>
  <si>
    <t>Pale green.</t>
  </si>
  <si>
    <t>Dark green.</t>
  </si>
  <si>
    <t>Blue green.</t>
  </si>
  <si>
    <t>Yellowish.</t>
  </si>
  <si>
    <t>Reddish.</t>
  </si>
  <si>
    <t>Pale grey.</t>
  </si>
  <si>
    <t>Dark grey.</t>
  </si>
  <si>
    <t>Light brown.</t>
  </si>
  <si>
    <t>Dark brown.</t>
  </si>
  <si>
    <t>Druid Remedy Ingredients</t>
  </si>
  <si>
    <t>Root hairs.</t>
  </si>
  <si>
    <t>Pollen.</t>
  </si>
  <si>
    <t>Ground roots.</t>
  </si>
  <si>
    <t>Fruit peels.</t>
  </si>
  <si>
    <t>Shredded roots.</t>
  </si>
  <si>
    <t>Berries.</t>
  </si>
  <si>
    <t>Ground tree bark.</t>
  </si>
  <si>
    <t>Moss.</t>
  </si>
  <si>
    <t>Wood shavings.</t>
  </si>
  <si>
    <t>Mushrooms.</t>
  </si>
  <si>
    <t>Fresh leaves.</t>
  </si>
  <si>
    <t>Fuzzy mold.</t>
  </si>
  <si>
    <t>Dried leaves.</t>
  </si>
  <si>
    <t>Spores.</t>
  </si>
  <si>
    <t>Crumbled leaves.</t>
  </si>
  <si>
    <t>Ground thorns.</t>
  </si>
  <si>
    <t>Leaf buds.</t>
  </si>
  <si>
    <t>Seeds.</t>
  </si>
  <si>
    <t>Flower petals.</t>
  </si>
  <si>
    <t>A shrubbery. </t>
  </si>
  <si>
    <t>Druid Remedy Prep</t>
  </si>
  <si>
    <t>Vigorous mixing. </t>
  </si>
  <si>
    <t>Boiling slowly. </t>
  </si>
  <si>
    <t>Boiling rapidly. </t>
  </si>
  <si>
    <t>Roasting. </t>
  </si>
  <si>
    <t>Smoking. </t>
  </si>
  <si>
    <t>Sun-drying. </t>
  </si>
  <si>
    <t>Soaking. </t>
  </si>
  <si>
    <t>Brining. </t>
  </si>
  <si>
    <t>Brewing. </t>
  </si>
  <si>
    <t>Steeping. </t>
  </si>
  <si>
    <t>Druid Remedy Application</t>
  </si>
  <si>
    <t>Consumed immediately after preparation.</t>
  </si>
  <si>
    <t>Consumed after it ages for a few hours.</t>
  </si>
  <si>
    <t>Consumed after it ages for a few years.</t>
  </si>
  <si>
    <t>Applied topically to the target area.</t>
  </si>
  <si>
    <t>Taken with food. </t>
  </si>
  <si>
    <t>Taken with water. </t>
  </si>
  <si>
    <t>Taken before going to bed. </t>
  </si>
  <si>
    <t>Taken with caution; side effects are likely.</t>
  </si>
  <si>
    <t>Druid Name</t>
  </si>
  <si>
    <t>Behavior</t>
  </si>
  <si>
    <t>Druid Traits</t>
  </si>
  <si>
    <t>Druid Equipment</t>
  </si>
  <si>
    <t>Druid Remedy</t>
  </si>
  <si>
    <t>Surviving in the wild alone for years.</t>
  </si>
  <si>
    <t>Conversing with primal spirits. </t>
  </si>
  <si>
    <t>Mannerism</t>
  </si>
  <si>
    <t>Weapon</t>
  </si>
  <si>
    <t>Trait</t>
  </si>
  <si>
    <t>Herb Remedy Purpose</t>
  </si>
  <si>
    <t>Remedy Form</t>
  </si>
  <si>
    <t>Remedy Color</t>
  </si>
  <si>
    <t>Remedy Ingredients</t>
  </si>
  <si>
    <t>Remedy Prep</t>
  </si>
  <si>
    <t>Remedy Application</t>
  </si>
  <si>
    <t>Goal</t>
  </si>
  <si>
    <t>Background</t>
  </si>
  <si>
    <t>Training</t>
  </si>
  <si>
    <t>Wild Connection</t>
  </si>
  <si>
    <t>Bright white hair. </t>
  </si>
  <si>
    <t>Silver-blonde hair. </t>
  </si>
  <si>
    <t>Whitish grey hair. </t>
  </si>
  <si>
    <t>Whitish blonde hair. </t>
  </si>
  <si>
    <t>Shiny platinum hair. </t>
  </si>
  <si>
    <t>Pale grey hair. </t>
  </si>
  <si>
    <t>Whitish blue eyes. </t>
  </si>
  <si>
    <t>Pale blue eyes. </t>
  </si>
  <si>
    <t>Lilac eyes. </t>
  </si>
  <si>
    <t>Pale violet eyes. </t>
  </si>
  <si>
    <t>Deep red eyes. </t>
  </si>
  <si>
    <t>Pale pink eyes. </t>
  </si>
  <si>
    <t>A likable grin. </t>
  </si>
  <si>
    <t>A delicate laugh. </t>
  </si>
  <si>
    <t>An amused smirk. </t>
  </si>
  <si>
    <t>A humorless visage. </t>
  </si>
  <si>
    <t>A habit of sighing. </t>
  </si>
  <si>
    <t>An insolent curl to the lip. </t>
  </si>
  <si>
    <t>A habit of pacing. </t>
  </si>
  <si>
    <t>A habit of scratching the back of the neck. </t>
  </si>
  <si>
    <t>A deadly assassin. </t>
  </si>
  <si>
    <t>A death-marked heretic. </t>
  </si>
  <si>
    <t>An ambitious mage. </t>
  </si>
  <si>
    <t>A messenger on an errand. </t>
  </si>
  <si>
    <t>A powerful, high-ranking priestess.</t>
  </si>
  <si>
    <t>An eager, novice priestess. </t>
  </si>
  <si>
    <t>A capable scout. </t>
  </si>
  <si>
    <t>A battle-hardened soldier. </t>
  </si>
  <si>
    <t>A patient and calculating spy. </t>
  </si>
  <si>
    <t>A devoted guardian. </t>
  </si>
  <si>
    <t>A peerless gemcutter. </t>
  </si>
  <si>
    <t>A secretive merchant. </t>
  </si>
  <si>
    <t>Track an aberrant beast. </t>
  </si>
  <si>
    <t>Investigate the disappearance of a comrade. </t>
  </si>
  <si>
    <t>Lead any travelers into a dangerous trap.</t>
  </si>
  <si>
    <t>Locate the lair of a legendary spider.</t>
  </si>
  <si>
    <t>Find some knowledge about an ancient event or place. </t>
  </si>
  <si>
    <t>Prove his or her worth to a priestess back home. </t>
  </si>
  <si>
    <t>Avoid any other dark elves. </t>
  </si>
  <si>
    <t>Avoid any high elves or wood elves.</t>
  </si>
  <si>
    <t>Kill some goblins. </t>
  </si>
  <si>
    <t>Share some wine while prying for secrets.</t>
  </si>
  <si>
    <t>An ancient wand or staff. </t>
  </si>
  <si>
    <t>A unique gem or piece of jewelry.</t>
  </si>
  <si>
    <t>A finely-crafted short sword or crossbow.</t>
  </si>
  <si>
    <t>A tome of dark lore. </t>
  </si>
  <si>
    <t>A pair of matching short swords.</t>
  </si>
  <si>
    <t>A half dozen sharp daggers. </t>
  </si>
  <si>
    <t>Several doses of deadly poisons.</t>
  </si>
  <si>
    <t>A staff or sword with a spiderweb pattern etched along its length. </t>
  </si>
  <si>
    <t>A pet spider. </t>
  </si>
  <si>
    <t>A trophy from a foe he or she killed. </t>
  </si>
  <si>
    <t>Elf Types</t>
  </si>
  <si>
    <t>Callarii (Wood)</t>
  </si>
  <si>
    <t>High Elves</t>
  </si>
  <si>
    <t>Vyalia (Drow)</t>
  </si>
  <si>
    <t>Vyalia Hair</t>
  </si>
  <si>
    <t>Vyalia Eyes</t>
  </si>
  <si>
    <t>Vyalia Mannerism</t>
  </si>
  <si>
    <t>Vyalia Profession</t>
  </si>
  <si>
    <t>Vyalia Goal</t>
  </si>
  <si>
    <t>Vyalia Possession</t>
  </si>
  <si>
    <t>High Elf Hair</t>
  </si>
  <si>
    <t>High Elf Eyes</t>
  </si>
  <si>
    <t>High Elf Mannerism</t>
  </si>
  <si>
    <t>High Elf Profession</t>
  </si>
  <si>
    <t>High Elf Goal</t>
  </si>
  <si>
    <t>High Elf Possession</t>
  </si>
  <si>
    <t>Black hair. </t>
  </si>
  <si>
    <t>Copper hair. </t>
  </si>
  <si>
    <t>Golden blonde hair. </t>
  </si>
  <si>
    <t>Platinum blonde hair. </t>
  </si>
  <si>
    <t>Silver-white hair. </t>
  </si>
  <si>
    <t>Dark brown hair. </t>
  </si>
  <si>
    <t>Reddish-brown. </t>
  </si>
  <si>
    <t>Fiery red hair. </t>
  </si>
  <si>
    <t>Pale golden eyes. </t>
  </si>
  <si>
    <t>Bright golden eyes. </t>
  </si>
  <si>
    <t>Dark green eyes. </t>
  </si>
  <si>
    <t>Brilliant green eyes. </t>
  </si>
  <si>
    <t>Bright blue eyes. </t>
  </si>
  <si>
    <t>Dark blue eyes. </t>
  </si>
  <si>
    <t>Blue eyes with golden flecks. </t>
  </si>
  <si>
    <t>Green eyes with golden flecks. </t>
  </si>
  <si>
    <t>A beautiful smile. </t>
  </si>
  <si>
    <t>A habit of nodding slowly while listening.</t>
  </si>
  <si>
    <t>A touch of sorrow in his or her voice.</t>
  </si>
  <si>
    <t>A habit of scratching the chin. </t>
  </si>
  <si>
    <t>A powerful enchanter or enchantress.</t>
  </si>
  <si>
    <t>A patient and wise sage. </t>
  </si>
  <si>
    <t>A dedicated knight. </t>
  </si>
  <si>
    <t>A mystic oracle. </t>
  </si>
  <si>
    <t>A watchful ranger. </t>
  </si>
  <si>
    <t>A superb archer. </t>
  </si>
  <si>
    <t>A masterful bladedancer. </t>
  </si>
  <si>
    <t>A battle-tested warrior. </t>
  </si>
  <si>
    <t xml:space="preserve"> A well-known singer. </t>
  </si>
  <si>
    <t>A masterful sailor. </t>
  </si>
  <si>
    <t>A celebrated shipbuilder</t>
  </si>
  <si>
    <t>Track an unnatural beast or invader.</t>
  </si>
  <si>
    <t>Lead any travelers out of the forest.</t>
  </si>
  <si>
    <t>Locate a legendary gem. </t>
  </si>
  <si>
    <t>Solve an ancient mystery. </t>
  </si>
  <si>
    <t>Find one of the last copies of a legendary book. </t>
  </si>
  <si>
    <t>Sail to the undying lands. </t>
  </si>
  <si>
    <t>Share a drink a tale of woe.</t>
  </si>
  <si>
    <t>An ancient blade. </t>
  </si>
  <si>
    <t>A finely-crafted longsword or bow.</t>
  </si>
  <si>
    <t>A tome of mystic lore. </t>
  </si>
  <si>
    <t>The journal of an ancient scholar.</t>
  </si>
  <si>
    <t>A sword etched with ancient runes.</t>
  </si>
  <si>
    <t>A staff with a moon-white crystal set at the end. </t>
  </si>
  <si>
    <t>Arrows fletched with the feathers of a swan. </t>
  </si>
  <si>
    <t>A cache of useful herbs. </t>
  </si>
  <si>
    <t>A silver flute. </t>
  </si>
  <si>
    <t>A golden harp. </t>
  </si>
  <si>
    <t>Callarii Elf Hair</t>
  </si>
  <si>
    <t>Callarii Elf Eyes</t>
  </si>
  <si>
    <t>Callarii Elf Mannerism</t>
  </si>
  <si>
    <t>Callarii Elf Profession</t>
  </si>
  <si>
    <t>Callarii Elf Goal</t>
  </si>
  <si>
    <t>Callarii Elf Possession</t>
  </si>
  <si>
    <t>Light brown hair. </t>
  </si>
  <si>
    <t>Auburn hair. </t>
  </si>
  <si>
    <t>Black hair with a brown streak. </t>
  </si>
  <si>
    <t>Dark brown hair with an auburn streak.</t>
  </si>
  <si>
    <t>Brown hair with a blonde streak.</t>
  </si>
  <si>
    <t>Blonde hair. </t>
  </si>
  <si>
    <t>Pale green eyes. </t>
  </si>
  <si>
    <t>Golden brown eyes. </t>
  </si>
  <si>
    <t>Dark brown eyes. </t>
  </si>
  <si>
    <t>Hazel eyes. </t>
  </si>
  <si>
    <t>An adept healer. </t>
  </si>
  <si>
    <t>A devoted priest. </t>
  </si>
  <si>
    <t>A mystic seer. </t>
  </si>
  <si>
    <t>A fierce warrior. </t>
  </si>
  <si>
    <t>A merry rogue. </t>
  </si>
  <si>
    <t>An enchanting musician. </t>
  </si>
  <si>
    <t>A famous beast-slayer. </t>
  </si>
  <si>
    <t>An exceptional winemaker. </t>
  </si>
  <si>
    <t>Lead any travelers away from the forest.</t>
  </si>
  <si>
    <t>Guard a sacred site from outsiders.</t>
  </si>
  <si>
    <t>Lead travelers astray in a dangerous part of the forest. </t>
  </si>
  <si>
    <t>Warn travelers against the dangers of the forest. </t>
  </si>
  <si>
    <t>Protect the secrets of his or her people at all costs. </t>
  </si>
  <si>
    <t>Drive an invader out of the forest.</t>
  </si>
  <si>
    <t>Eat, drink, and be merry. </t>
  </si>
  <si>
    <t>A finely-crafted spear or staff. </t>
  </si>
  <si>
    <t>An ornate longbow. </t>
  </si>
  <si>
    <t>A heavy steel sword. </t>
  </si>
  <si>
    <t>A simple spear and a simple bow.</t>
  </si>
  <si>
    <t>A curved blade and a small wooden shield.</t>
  </si>
  <si>
    <t>Arrows fletched with the feathers of an eagle.</t>
  </si>
  <si>
    <t>A carved wooden harp.</t>
  </si>
  <si>
    <t>Profession</t>
  </si>
  <si>
    <t>Possession</t>
  </si>
  <si>
    <t>Name</t>
  </si>
  <si>
    <t>Type</t>
  </si>
  <si>
    <t>Abadda</t>
  </si>
  <si>
    <t>Abarat</t>
  </si>
  <si>
    <t>Adamar</t>
  </si>
  <si>
    <t>Adorellan</t>
  </si>
  <si>
    <t>Adresin</t>
  </si>
  <si>
    <t>Aduce</t>
  </si>
  <si>
    <t>Aelrindel</t>
  </si>
  <si>
    <t>Aerendyl</t>
  </si>
  <si>
    <t>Aermhar</t>
  </si>
  <si>
    <t>Aesar</t>
  </si>
  <si>
    <t>Aeson</t>
  </si>
  <si>
    <t>Afamrail</t>
  </si>
  <si>
    <t>Agis</t>
  </si>
  <si>
    <t>Aglanthol</t>
  </si>
  <si>
    <t>Ainésilver</t>
  </si>
  <si>
    <t>Aithlin</t>
  </si>
  <si>
    <t>Ajaar</t>
  </si>
  <si>
    <t>Akhelbhen</t>
  </si>
  <si>
    <t>Akkar</t>
  </si>
  <si>
    <t>Alabyran</t>
  </si>
  <si>
    <t>Albondiel</t>
  </si>
  <si>
    <t>Alinar</t>
  </si>
  <si>
    <t>Allain</t>
  </si>
  <si>
    <t>Alok</t>
  </si>
  <si>
    <t>Alosrin</t>
  </si>
  <si>
    <t>Althidon</t>
  </si>
  <si>
    <t>Amrynn</t>
  </si>
  <si>
    <t>Anarallath</t>
  </si>
  <si>
    <t>Andaerean</t>
  </si>
  <si>
    <t>Andrathath</t>
  </si>
  <si>
    <t>Anfalen</t>
  </si>
  <si>
    <t>Anlyth</t>
  </si>
  <si>
    <t>Aolis</t>
  </si>
  <si>
    <t>Aquilan</t>
  </si>
  <si>
    <t>Araevin</t>
  </si>
  <si>
    <t>Arandron</t>
  </si>
  <si>
    <t>Aravilar</t>
  </si>
  <si>
    <t>Arbane</t>
  </si>
  <si>
    <t>Ardreth</t>
  </si>
  <si>
    <t>Ardryll</t>
  </si>
  <si>
    <t>Argus</t>
  </si>
  <si>
    <t>Arkhun</t>
  </si>
  <si>
    <t>Arkiem</t>
  </si>
  <si>
    <t>Arl</t>
  </si>
  <si>
    <t>Arlen</t>
  </si>
  <si>
    <t>Arun</t>
  </si>
  <si>
    <t>Ascal</t>
  </si>
  <si>
    <t>Athtar</t>
  </si>
  <si>
    <t>Aubric</t>
  </si>
  <si>
    <t>Aubron</t>
  </si>
  <si>
    <t>Aulathar</t>
  </si>
  <si>
    <t>Aulauthar</t>
  </si>
  <si>
    <t>Aumanas</t>
  </si>
  <si>
    <t>Aumrauth</t>
  </si>
  <si>
    <t>Avourel</t>
  </si>
  <si>
    <t>Baerdelcoam</t>
  </si>
  <si>
    <t>Baerithryn</t>
  </si>
  <si>
    <t>Belanor</t>
  </si>
  <si>
    <t>Beldroth</t>
  </si>
  <si>
    <t>Bellas</t>
  </si>
  <si>
    <t>Belstram</t>
  </si>
  <si>
    <t>Beluar</t>
  </si>
  <si>
    <t>Bhyrindaar</t>
  </si>
  <si>
    <t>Biafyndar</t>
  </si>
  <si>
    <t>Bialaer</t>
  </si>
  <si>
    <t>Braern</t>
  </si>
  <si>
    <t>Brindarry</t>
  </si>
  <si>
    <t>Buttorwyr</t>
  </si>
  <si>
    <t>Cameron</t>
  </si>
  <si>
    <t>Chaalmyth</t>
  </si>
  <si>
    <t>Chathanglas</t>
  </si>
  <si>
    <t>Cheyrth</t>
  </si>
  <si>
    <t>Chozzaster</t>
  </si>
  <si>
    <t>Chylnoth</t>
  </si>
  <si>
    <t>Cluhurach</t>
  </si>
  <si>
    <t>Cluym</t>
  </si>
  <si>
    <t>Cohnal</t>
  </si>
  <si>
    <t>Conall</t>
  </si>
  <si>
    <t>Connak</t>
  </si>
  <si>
    <t>Cornaith</t>
  </si>
  <si>
    <t>Corym</t>
  </si>
  <si>
    <t>Cymbiir</t>
  </si>
  <si>
    <t>Cystenn</t>
  </si>
  <si>
    <t>Dalyor</t>
  </si>
  <si>
    <t>Dakath</t>
  </si>
  <si>
    <t>Dannyd</t>
  </si>
  <si>
    <t>Daratrine</t>
  </si>
  <si>
    <t>Darcassan</t>
  </si>
  <si>
    <t>Darfin</t>
  </si>
  <si>
    <t>Darthoridan</t>
  </si>
  <si>
    <t>Deldrach</t>
  </si>
  <si>
    <t>Delmuth</t>
  </si>
  <si>
    <t>Delsaran</t>
  </si>
  <si>
    <t>Dhoelath</t>
  </si>
  <si>
    <t>Divisav</t>
  </si>
  <si>
    <t>Drannor</t>
  </si>
  <si>
    <t>Droth</t>
  </si>
  <si>
    <t>Druindar</t>
  </si>
  <si>
    <t>Durlan</t>
  </si>
  <si>
    <t>Durothil</t>
  </si>
  <si>
    <t>Dyffros</t>
  </si>
  <si>
    <t>Earynspieir</t>
  </si>
  <si>
    <t>Edansyr</t>
  </si>
  <si>
    <t>Edicûve</t>
  </si>
  <si>
    <t>Edwyrd</t>
  </si>
  <si>
    <t>Edyrm</t>
  </si>
  <si>
    <t>Ehlark</t>
  </si>
  <si>
    <t>Ehrendil</t>
  </si>
  <si>
    <t>Eilauver</t>
  </si>
  <si>
    <t>Elaethan</t>
  </si>
  <si>
    <t>Elaith</t>
  </si>
  <si>
    <t>Elandorr</t>
  </si>
  <si>
    <t>Elanjar</t>
  </si>
  <si>
    <t>Elashor</t>
  </si>
  <si>
    <t>Elbauthin</t>
  </si>
  <si>
    <t>Elbereth</t>
  </si>
  <si>
    <t>Eldaernth</t>
  </si>
  <si>
    <t>Eldar</t>
  </si>
  <si>
    <t>Eldrin</t>
  </si>
  <si>
    <t>Elénaril</t>
  </si>
  <si>
    <t>Elenshaer</t>
  </si>
  <si>
    <t>Elephon</t>
  </si>
  <si>
    <t>Elhieardacil</t>
  </si>
  <si>
    <t>Elidyr</t>
  </si>
  <si>
    <t>Elion</t>
  </si>
  <si>
    <t>Elkhazel</t>
  </si>
  <si>
    <t>Ellisar</t>
  </si>
  <si>
    <t>Elorfindar</t>
  </si>
  <si>
    <t>Elorshin</t>
  </si>
  <si>
    <t>Elpaerae</t>
  </si>
  <si>
    <t>Eltaor</t>
  </si>
  <si>
    <t>Eltargrim</t>
  </si>
  <si>
    <t>Emmyth</t>
  </si>
  <si>
    <t>Entrydal</t>
  </si>
  <si>
    <t>Erendriel</t>
  </si>
  <si>
    <t>Erglareo</t>
  </si>
  <si>
    <t>Eriladar</t>
  </si>
  <si>
    <t>Erlan</t>
  </si>
  <si>
    <t>Erlathan</t>
  </si>
  <si>
    <t>Eroan</t>
  </si>
  <si>
    <t>Erolith</t>
  </si>
  <si>
    <t>Eschallus</t>
  </si>
  <si>
    <t>Estelar</t>
  </si>
  <si>
    <t>Ethlando</t>
  </si>
  <si>
    <t>Ettrian</t>
  </si>
  <si>
    <t>Euchoé</t>
  </si>
  <si>
    <t>Evindal</t>
  </si>
  <si>
    <t>Eyrynnhv</t>
  </si>
  <si>
    <t>Faahresc</t>
  </si>
  <si>
    <t>Faelar</t>
  </si>
  <si>
    <t>Faelyn</t>
  </si>
  <si>
    <t>Faeranduil</t>
  </si>
  <si>
    <t>Falael</t>
  </si>
  <si>
    <t>Faoraar</t>
  </si>
  <si>
    <t>Felaern</t>
  </si>
  <si>
    <t>Fenian</t>
  </si>
  <si>
    <t>Fflar</t>
  </si>
  <si>
    <t>Fhaornik</t>
  </si>
  <si>
    <t>Fhociin</t>
  </si>
  <si>
    <t>Filarion</t>
  </si>
  <si>
    <t>Filvendor</t>
  </si>
  <si>
    <t>Filverel</t>
  </si>
  <si>
    <t>Finufaranell</t>
  </si>
  <si>
    <t>Flardryn</t>
  </si>
  <si>
    <t>Flinar</t>
  </si>
  <si>
    <t>Foxfire</t>
  </si>
  <si>
    <t>Fylson</t>
  </si>
  <si>
    <t>Gaeleath</t>
  </si>
  <si>
    <t>Gaelin</t>
  </si>
  <si>
    <t>Galaeron</t>
  </si>
  <si>
    <t>Galan</t>
  </si>
  <si>
    <t>Galather</t>
  </si>
  <si>
    <t>Ganamede</t>
  </si>
  <si>
    <t>Gantar</t>
  </si>
  <si>
    <t>Garrik</t>
  </si>
  <si>
    <t>Garynnon</t>
  </si>
  <si>
    <t>Giilvas</t>
  </si>
  <si>
    <t>Giullio</t>
  </si>
  <si>
    <t>Glarald</t>
  </si>
  <si>
    <t>Glorandal</t>
  </si>
  <si>
    <t>Goronyyv</t>
  </si>
  <si>
    <t>Grathgor</t>
  </si>
  <si>
    <t>Haalaari</t>
  </si>
  <si>
    <t>Hachaam</t>
  </si>
  <si>
    <t>Haemir</t>
  </si>
  <si>
    <t>Haladavar</t>
  </si>
  <si>
    <t>Halafarin</t>
  </si>
  <si>
    <t>Halamar</t>
  </si>
  <si>
    <t>Haldreithen</t>
  </si>
  <si>
    <t>Halflar</t>
  </si>
  <si>
    <t>Halgondas</t>
  </si>
  <si>
    <t>Halpaeril</t>
  </si>
  <si>
    <t>Halueth</t>
  </si>
  <si>
    <t>Halueve</t>
  </si>
  <si>
    <t>Haryk</t>
  </si>
  <si>
    <t>Hastos</t>
  </si>
  <si>
    <t>Hatharal</t>
  </si>
  <si>
    <t>Hiflanyl</t>
  </si>
  <si>
    <t>Hoccar</t>
  </si>
  <si>
    <t>Horith</t>
  </si>
  <si>
    <t>Hubyr</t>
  </si>
  <si>
    <t>Iefyr</t>
  </si>
  <si>
    <t>Ievos</t>
  </si>
  <si>
    <t>Ihimbraskar</t>
  </si>
  <si>
    <t>Ilbryn</t>
  </si>
  <si>
    <t>Illianaro</t>
  </si>
  <si>
    <t>Ilimitar</t>
  </si>
  <si>
    <t>Iliphar</t>
  </si>
  <si>
    <t>Ilitharath</t>
  </si>
  <si>
    <t>Illithor</t>
  </si>
  <si>
    <t>Illitran</t>
  </si>
  <si>
    <t>Ilphas</t>
  </si>
  <si>
    <t>Ilrune</t>
  </si>
  <si>
    <t>Ilthuryn</t>
  </si>
  <si>
    <t>Ilyndrathyl</t>
  </si>
  <si>
    <t>Inchel</t>
  </si>
  <si>
    <t>Inialos</t>
  </si>
  <si>
    <t>Injros</t>
  </si>
  <si>
    <t>Intevar</t>
  </si>
  <si>
    <t>Iolas</t>
  </si>
  <si>
    <t>Iolrath</t>
  </si>
  <si>
    <t>Itham</t>
  </si>
  <si>
    <t>Ithraides</t>
  </si>
  <si>
    <t>Ivlisar</t>
  </si>
  <si>
    <t>Ivósaar</t>
  </si>
  <si>
    <t>Ivran</t>
  </si>
  <si>
    <t>Iymbryl</t>
  </si>
  <si>
    <t>Iyrandrar</t>
  </si>
  <si>
    <t>Iyriklaunavan</t>
  </si>
  <si>
    <t>Jandar</t>
  </si>
  <si>
    <t>Jannalor</t>
  </si>
  <si>
    <t>Jaonos</t>
  </si>
  <si>
    <t>Jassin</t>
  </si>
  <si>
    <t>Jhaan</t>
  </si>
  <si>
    <t>Jhaartael</t>
  </si>
  <si>
    <t>Jhaeros</t>
  </si>
  <si>
    <t>Jharak</t>
  </si>
  <si>
    <t>Jharym</t>
  </si>
  <si>
    <t>Jhuvik</t>
  </si>
  <si>
    <t>Jonas</t>
  </si>
  <si>
    <t>Jonik</t>
  </si>
  <si>
    <t>Jorildyn</t>
  </si>
  <si>
    <t>Josidiah</t>
  </si>
  <si>
    <t>Juppar</t>
  </si>
  <si>
    <t>Kahvoerm</t>
  </si>
  <si>
    <t>Kalaerede</t>
  </si>
  <si>
    <t>Katar</t>
  </si>
  <si>
    <t>Katyr</t>
  </si>
  <si>
    <t>Keletheryl</t>
  </si>
  <si>
    <t>Kelvhan</t>
  </si>
  <si>
    <t>Kendel</t>
  </si>
  <si>
    <t>Kerym</t>
  </si>
  <si>
    <t>Keryth</t>
  </si>
  <si>
    <t>Kesefehon</t>
  </si>
  <si>
    <t>Khaalindaan</t>
  </si>
  <si>
    <t>Kharis</t>
  </si>
  <si>
    <t>Khatar</t>
  </si>
  <si>
    <t>Khidell</t>
  </si>
  <si>
    <t>Khiiral</t>
  </si>
  <si>
    <t>Khilseith</t>
  </si>
  <si>
    <t>Khuumal</t>
  </si>
  <si>
    <t>Khyrmn</t>
  </si>
  <si>
    <t>Khyssoun</t>
  </si>
  <si>
    <t>Kindroth</t>
  </si>
  <si>
    <t>Kivessin</t>
  </si>
  <si>
    <t>Kiyuigh</t>
  </si>
  <si>
    <t>Klaern</t>
  </si>
  <si>
    <t>Kolvar</t>
  </si>
  <si>
    <t>Korrigash</t>
  </si>
  <si>
    <t>Kroloth</t>
  </si>
  <si>
    <t>Kuornos</t>
  </si>
  <si>
    <t>Kuskyn</t>
  </si>
  <si>
    <t>Kymil</t>
  </si>
  <si>
    <t>Kyrtaar</t>
  </si>
  <si>
    <t>Laeroth</t>
  </si>
  <si>
    <t>Lafarallin</t>
  </si>
  <si>
    <t>Lamruil</t>
  </si>
  <si>
    <t>Laosx</t>
  </si>
  <si>
    <t>Larongar</t>
  </si>
  <si>
    <t>Larrel</t>
  </si>
  <si>
    <t>Lashul</t>
  </si>
  <si>
    <t>Lathai</t>
  </si>
  <si>
    <t>Lathlaeril</t>
  </si>
  <si>
    <t>Leayonadas</t>
  </si>
  <si>
    <t>Leojym</t>
  </si>
  <si>
    <t>Lhombaerth</t>
  </si>
  <si>
    <t>Lhoris</t>
  </si>
  <si>
    <t>Lianthorn</t>
  </si>
  <si>
    <t>Llarm</t>
  </si>
  <si>
    <t>Llewellenar</t>
  </si>
  <si>
    <t>Llombaerth</t>
  </si>
  <si>
    <t>Lorsan</t>
  </si>
  <si>
    <t>Luirlan</t>
  </si>
  <si>
    <t>Luthais</t>
  </si>
  <si>
    <t>Luvon</t>
  </si>
  <si>
    <t>Lyari</t>
  </si>
  <si>
    <t>Lyklor</t>
  </si>
  <si>
    <t>Lysanthir</t>
  </si>
  <si>
    <t>Maasli</t>
  </si>
  <si>
    <t>Maendellyn</t>
  </si>
  <si>
    <t>Maeraddyth</t>
  </si>
  <si>
    <t>Maeral</t>
  </si>
  <si>
    <t>Maiele</t>
  </si>
  <si>
    <t>Malgath</t>
  </si>
  <si>
    <t>Mardeiym</t>
  </si>
  <si>
    <t>Marikoth</t>
  </si>
  <si>
    <t>Marlevaur</t>
  </si>
  <si>
    <t>Melandrach</t>
  </si>
  <si>
    <t>Melisander</t>
  </si>
  <si>
    <t>Merellien</t>
  </si>
  <si>
    <t>Merith</t>
  </si>
  <si>
    <t>Methild</t>
  </si>
  <si>
    <t>Mhaenal</t>
  </si>
  <si>
    <t>Mi’tilarro</t>
  </si>
  <si>
    <t>Mihangyl</t>
  </si>
  <si>
    <t>Miilaethorn</t>
  </si>
  <si>
    <t>Miirphys</t>
  </si>
  <si>
    <t>Mirthal</t>
  </si>
  <si>
    <t>Mlartlar</t>
  </si>
  <si>
    <t>Mlossae</t>
  </si>
  <si>
    <t>Molonym</t>
  </si>
  <si>
    <t>Molostroi</t>
  </si>
  <si>
    <t>Montagor</t>
  </si>
  <si>
    <t>Morgan</t>
  </si>
  <si>
    <t>Morthil</t>
  </si>
  <si>
    <t>Mothrys</t>
  </si>
  <si>
    <t>Mourn</t>
  </si>
  <si>
    <t>Myrddin</t>
  </si>
  <si>
    <t>Myriil</t>
  </si>
  <si>
    <t>Myrin</t>
  </si>
  <si>
    <t>Myronthilar</t>
  </si>
  <si>
    <t>Mythanthar</t>
  </si>
  <si>
    <t>Naertho</t>
  </si>
  <si>
    <t>Naeryndam</t>
  </si>
  <si>
    <t>Napraeleon</t>
  </si>
  <si>
    <t>Narbeth</t>
  </si>
  <si>
    <t>Nardual</t>
  </si>
  <si>
    <t>Nelaeryn</t>
  </si>
  <si>
    <t>Neldor</t>
  </si>
  <si>
    <t>Nesterin</t>
  </si>
  <si>
    <t>Nevarth</t>
  </si>
  <si>
    <t>Nhamashal</t>
  </si>
  <si>
    <t>Nieven</t>
  </si>
  <si>
    <t>Nindrol</t>
  </si>
  <si>
    <t>Ninthalor</t>
  </si>
  <si>
    <t>Nlossae</t>
  </si>
  <si>
    <t>Nopos</t>
  </si>
  <si>
    <t>Norlorn</t>
  </si>
  <si>
    <t>Nremyn</t>
  </si>
  <si>
    <t>Nuvian</t>
  </si>
  <si>
    <t>Nyaalsir</t>
  </si>
  <si>
    <t>Nylian</t>
  </si>
  <si>
    <t>Nym</t>
  </si>
  <si>
    <t>Nyvorlas</t>
  </si>
  <si>
    <t>Oacenth</t>
  </si>
  <si>
    <t>Oenel</t>
  </si>
  <si>
    <t>Ohmbryn</t>
  </si>
  <si>
    <t>Olaurae</t>
  </si>
  <si>
    <t>Olinsivver</t>
  </si>
  <si>
    <t>Olithir</t>
  </si>
  <si>
    <t>Onas</t>
  </si>
  <si>
    <t>Oncith</t>
  </si>
  <si>
    <t>Ondabrar</t>
  </si>
  <si>
    <t>Ondroth</t>
  </si>
  <si>
    <t>Onvyr</t>
  </si>
  <si>
    <t>Orist</t>
  </si>
  <si>
    <t>Orlpar</t>
  </si>
  <si>
    <t>Orndacil</t>
  </si>
  <si>
    <t>Ornthalas</t>
  </si>
  <si>
    <t>Ortauré</t>
  </si>
  <si>
    <t>Orym</t>
  </si>
  <si>
    <t>Oslarelar</t>
  </si>
  <si>
    <t>Otaehryn</t>
  </si>
  <si>
    <t>Otaerhyn</t>
  </si>
  <si>
    <t>Othorion</t>
  </si>
  <si>
    <t>Paeral</t>
  </si>
  <si>
    <t>Paeris</t>
  </si>
  <si>
    <t>Passilorris</t>
  </si>
  <si>
    <t>Paulorin</t>
  </si>
  <si>
    <t>Phaendar</t>
  </si>
  <si>
    <t>Pharom</t>
  </si>
  <si>
    <t>Phraan</t>
  </si>
  <si>
    <t>Pirphal</t>
  </si>
  <si>
    <t>Pleufan</t>
  </si>
  <si>
    <t>Purtham</t>
  </si>
  <si>
    <t>Pyrder</t>
  </si>
  <si>
    <t>Pyrravym</t>
  </si>
  <si>
    <t>Pywaln</t>
  </si>
  <si>
    <t>Pyxaanthal,</t>
  </si>
  <si>
    <t>Qildor</t>
  </si>
  <si>
    <t>Quastarte</t>
  </si>
  <si>
    <t>Quynn</t>
  </si>
  <si>
    <t>Raeranthur</t>
  </si>
  <si>
    <t>Raibyr</t>
  </si>
  <si>
    <t>Ralikanthae</t>
  </si>
  <si>
    <t>Ralnor</t>
  </si>
  <si>
    <t>Rathal</t>
  </si>
  <si>
    <t>Raunaeril</t>
  </si>
  <si>
    <t>Rauthomyr</t>
  </si>
  <si>
    <t>Rauvelore</t>
  </si>
  <si>
    <t>Reluraun</t>
  </si>
  <si>
    <t>Reluvethel</t>
  </si>
  <si>
    <t>Rennyn</t>
  </si>
  <si>
    <t>Reptar</t>
  </si>
  <si>
    <t>Respen</t>
  </si>
  <si>
    <t>Rhaac'var</t>
  </si>
  <si>
    <t>Rhalyf</t>
  </si>
  <si>
    <t>Rhangyl</t>
  </si>
  <si>
    <t>Rhenalyrr</t>
  </si>
  <si>
    <t>Rhespen</t>
  </si>
  <si>
    <t>Rhistel</t>
  </si>
  <si>
    <t>Rhothomir</t>
  </si>
  <si>
    <t>Rhys</t>
  </si>
  <si>
    <t>Rilitar</t>
  </si>
  <si>
    <t>Riluaneth</t>
  </si>
  <si>
    <t>Rolim</t>
  </si>
  <si>
    <t>Rotheloe</t>
  </si>
  <si>
    <t>Rothilion</t>
  </si>
  <si>
    <t>Ruardh</t>
  </si>
  <si>
    <t>Ruehar</t>
  </si>
  <si>
    <t>Ruith</t>
  </si>
  <si>
    <t>Rumathil</t>
  </si>
  <si>
    <t>Ruvaen</t>
  </si>
  <si>
    <t>Ruven</t>
  </si>
  <si>
    <t>Ruvyn</t>
  </si>
  <si>
    <t>Rychell</t>
  </si>
  <si>
    <t>Ryfon</t>
  </si>
  <si>
    <t>Ryul</t>
  </si>
  <si>
    <t>Ryvvik,</t>
  </si>
  <si>
    <t>Sadalymn</t>
  </si>
  <si>
    <t>Saevel</t>
  </si>
  <si>
    <t>Sakrattars</t>
  </si>
  <si>
    <t>Samblar</t>
  </si>
  <si>
    <t>Sandevv</t>
  </si>
  <si>
    <t>Seanchai</t>
  </si>
  <si>
    <t>Seith</t>
  </si>
  <si>
    <t>Selanlar</t>
  </si>
  <si>
    <t>Selgauth</t>
  </si>
  <si>
    <t>Shael</t>
  </si>
  <si>
    <t>Shammath</t>
  </si>
  <si>
    <t>Sharian</t>
  </si>
  <si>
    <t>Sharlario</t>
  </si>
  <si>
    <t>Shaundyl</t>
  </si>
  <si>
    <t>Shevarash</t>
  </si>
  <si>
    <t>Shonassir</t>
  </si>
  <si>
    <t>Shyrrik</t>
  </si>
  <si>
    <t>Siirist</t>
  </si>
  <si>
    <t>Silvyr</t>
  </si>
  <si>
    <t>Simimar</t>
  </si>
  <si>
    <t>Sinaht</t>
  </si>
  <si>
    <t>Skalanis</t>
  </si>
  <si>
    <t>Sontar</t>
  </si>
  <si>
    <t>Srindin</t>
  </si>
  <si>
    <t>Strohm</t>
  </si>
  <si>
    <t>Sudryl</t>
  </si>
  <si>
    <t>Sundamar</t>
  </si>
  <si>
    <t>Sylvar</t>
  </si>
  <si>
    <t>Symkalr</t>
  </si>
  <si>
    <t>Sythaeryn</t>
  </si>
  <si>
    <t>Taanyth</t>
  </si>
  <si>
    <t>Taegen</t>
  </si>
  <si>
    <t>Taeglyn</t>
  </si>
  <si>
    <t>Taeral</t>
  </si>
  <si>
    <t>Taerntym</t>
  </si>
  <si>
    <t>Taleisin</t>
  </si>
  <si>
    <t>Tammson</t>
  </si>
  <si>
    <t>Tamnaeuth</t>
  </si>
  <si>
    <t>Tamsin</t>
  </si>
  <si>
    <t>Tanithil</t>
  </si>
  <si>
    <t>Tannivh</t>
  </si>
  <si>
    <t>Tannyll</t>
  </si>
  <si>
    <t>Tanseril</t>
  </si>
  <si>
    <t>Tanyl</t>
  </si>
  <si>
    <t>Taranath</t>
  </si>
  <si>
    <t>Tarathiel</t>
  </si>
  <si>
    <t>Taredd</t>
  </si>
  <si>
    <t>Tarosspur</t>
  </si>
  <si>
    <t>Tarron</t>
  </si>
  <si>
    <t>Tasar</t>
  </si>
  <si>
    <t>Tassarion</t>
  </si>
  <si>
    <t>Tathaln</t>
  </si>
  <si>
    <t>Tehlmar</t>
  </si>
  <si>
    <t>Teirist</t>
  </si>
  <si>
    <t>Tenyajn</t>
  </si>
  <si>
    <t>Tethir</t>
  </si>
  <si>
    <t>Thalanil</t>
  </si>
  <si>
    <t>Thallan</t>
  </si>
  <si>
    <t>Thatoryl</t>
  </si>
  <si>
    <t>Thiilthan</t>
  </si>
  <si>
    <t>Thurdan</t>
  </si>
  <si>
    <t>Thurruvyn</t>
  </si>
  <si>
    <t>Tiarshus</t>
  </si>
  <si>
    <t>Tlannatar</t>
  </si>
  <si>
    <t>Tolthe</t>
  </si>
  <si>
    <t>Tordynnar</t>
  </si>
  <si>
    <t>Toross</t>
  </si>
  <si>
    <t>Traeliorn</t>
  </si>
  <si>
    <t>Travaran</t>
  </si>
  <si>
    <t>Triandal</t>
  </si>
  <si>
    <t>Triktappic</t>
  </si>
  <si>
    <t>Tsaer</t>
  </si>
  <si>
    <t>Tsiilmas</t>
  </si>
  <si>
    <t>Tyvollus</t>
  </si>
  <si>
    <t>Saelethil</t>
  </si>
  <si>
    <t>Seiveril</t>
  </si>
  <si>
    <t>Taenaran</t>
  </si>
  <si>
    <t>T’karon</t>
  </si>
  <si>
    <t>Ualair</t>
  </si>
  <si>
    <t>Uevareth</t>
  </si>
  <si>
    <t>Uldreiyn</t>
  </si>
  <si>
    <t>Urddusk</t>
  </si>
  <si>
    <t>Usunaar</t>
  </si>
  <si>
    <t>Uthorim</t>
  </si>
  <si>
    <t>Vaalyun</t>
  </si>
  <si>
    <t>Vaeril</t>
  </si>
  <si>
    <t>Valmaxian</t>
  </si>
  <si>
    <t>Vander</t>
  </si>
  <si>
    <t>Vartan</t>
  </si>
  <si>
    <t>Velethuil</t>
  </si>
  <si>
    <t>Venali</t>
  </si>
  <si>
    <t>Vesperr</t>
  </si>
  <si>
    <t>Vesryn</t>
  </si>
  <si>
    <t>Vesstan</t>
  </si>
  <si>
    <t>Vhoadan</t>
  </si>
  <si>
    <t>Vhoori</t>
  </si>
  <si>
    <t>Vhoorhin</t>
  </si>
  <si>
    <t>Volodar</t>
  </si>
  <si>
    <t>Voron</t>
  </si>
  <si>
    <t>Waernas</t>
  </si>
  <si>
    <t>Wistari</t>
  </si>
  <si>
    <t>Wylchyr</t>
  </si>
  <si>
    <t>Wylym</t>
  </si>
  <si>
    <t>Wyn</t>
  </si>
  <si>
    <t>Wyndelleu</t>
  </si>
  <si>
    <t>Wyqhael</t>
  </si>
  <si>
    <t>Wyrran</t>
  </si>
  <si>
    <t>Xalph</t>
  </si>
  <si>
    <t>Xanotter</t>
  </si>
  <si>
    <t>Xhalh</t>
  </si>
  <si>
    <t>Xhalth</t>
  </si>
  <si>
    <t>Xharlion</t>
  </si>
  <si>
    <t>Yalathanil</t>
  </si>
  <si>
    <t>Yeschant</t>
  </si>
  <si>
    <t>Yhendorn</t>
  </si>
  <si>
    <t>Ylyndar</t>
  </si>
  <si>
    <t>Ynloeth</t>
  </si>
  <si>
    <t>Zabbas</t>
  </si>
  <si>
    <t>Zaltarish</t>
  </si>
  <si>
    <t>Zandro</t>
  </si>
  <si>
    <t>Zaor</t>
  </si>
  <si>
    <t>Zaos</t>
  </si>
  <si>
    <t>Zelphar</t>
  </si>
  <si>
    <t>Zhoron</t>
  </si>
  <si>
    <t>Zulae</t>
  </si>
  <si>
    <t>Aelieyeeva</t>
  </si>
  <si>
    <t>Aelrue</t>
  </si>
  <si>
    <t>Aelynthi</t>
  </si>
  <si>
    <t>Aerilaya</t>
  </si>
  <si>
    <t>Ahrendaaria</t>
  </si>
  <si>
    <t>Ahrendue</t>
  </si>
  <si>
    <t>Ahskahala</t>
  </si>
  <si>
    <t>Ajhalanda</t>
  </si>
  <si>
    <t>Alaglossa</t>
  </si>
  <si>
    <t>Alais</t>
  </si>
  <si>
    <t>Alauthshaee</t>
  </si>
  <si>
    <t>Alavara</t>
  </si>
  <si>
    <t>Alea</t>
  </si>
  <si>
    <t>Alerathla</t>
  </si>
  <si>
    <t>Allannia</t>
  </si>
  <si>
    <t>Allisa</t>
  </si>
  <si>
    <t>Alloralla</t>
  </si>
  <si>
    <t>Allynna</t>
  </si>
  <si>
    <t>Almithara</t>
  </si>
  <si>
    <t>Aloevan</t>
  </si>
  <si>
    <t>Alvaerele</t>
  </si>
  <si>
    <t>Aluendalee</t>
  </si>
  <si>
    <t>Alyndra</t>
  </si>
  <si>
    <t>Amara</t>
  </si>
  <si>
    <t>Amaranthae</t>
  </si>
  <si>
    <t>Amkissra</t>
  </si>
  <si>
    <t>Amlaruil</t>
  </si>
  <si>
    <t>Amnestria</t>
  </si>
  <si>
    <t>Amra</t>
  </si>
  <si>
    <t>Anaharae</t>
  </si>
  <si>
    <t>Anarzee</t>
  </si>
  <si>
    <t>Aneirin</t>
  </si>
  <si>
    <t>Anhaern</t>
  </si>
  <si>
    <t>Anyllan</t>
  </si>
  <si>
    <t>Ara</t>
  </si>
  <si>
    <t>Araushnee</t>
  </si>
  <si>
    <t>Aravae</t>
  </si>
  <si>
    <t>Arcaena</t>
  </si>
  <si>
    <t>Arielimnda</t>
  </si>
  <si>
    <t>Arlayna</t>
  </si>
  <si>
    <t>Arnarra</t>
  </si>
  <si>
    <t>Artin</t>
  </si>
  <si>
    <t>Ashemmi</t>
  </si>
  <si>
    <t>Aubaudameira</t>
  </si>
  <si>
    <t>Auluua</t>
  </si>
  <si>
    <t>Aurae</t>
  </si>
  <si>
    <t>Ava</t>
  </si>
  <si>
    <t>Axilya</t>
  </si>
  <si>
    <t>Ayaeqlarune</t>
  </si>
  <si>
    <t>Azariah</t>
  </si>
  <si>
    <t>Bhuraelea</t>
  </si>
  <si>
    <t>Blythswana</t>
  </si>
  <si>
    <t>Bonnalurie</t>
  </si>
  <si>
    <t>Braerindra</t>
  </si>
  <si>
    <t>Caerthynna</t>
  </si>
  <si>
    <t>Calarel</t>
  </si>
  <si>
    <t>Cauladra</t>
  </si>
  <si>
    <t>Chaenath</t>
  </si>
  <si>
    <t>Chalsarda</t>
  </si>
  <si>
    <t>Chandrelle</t>
  </si>
  <si>
    <t>Chasianna</t>
  </si>
  <si>
    <t>Chichlandra</t>
  </si>
  <si>
    <t>Chin’nesstre</t>
  </si>
  <si>
    <t>Chomylla</t>
  </si>
  <si>
    <t>Cilivren</t>
  </si>
  <si>
    <t>Ciyradyl</t>
  </si>
  <si>
    <t>Claire</t>
  </si>
  <si>
    <t>Csharynn</t>
  </si>
  <si>
    <t>Daenalaia</t>
  </si>
  <si>
    <t>Darshee</t>
  </si>
  <si>
    <t>Dasyra</t>
  </si>
  <si>
    <t>Dathlue</t>
  </si>
  <si>
    <t>Delimbiyra</t>
  </si>
  <si>
    <t>Delshandra</t>
  </si>
  <si>
    <t>Deularla</t>
  </si>
  <si>
    <t>Duilya</t>
  </si>
  <si>
    <t>Eallyrl</t>
  </si>
  <si>
    <t>Ecaeris</t>
  </si>
  <si>
    <t>Edraele</t>
  </si>
  <si>
    <t>Elanalue</t>
  </si>
  <si>
    <t>Elanil</t>
  </si>
  <si>
    <t>Elasha</t>
  </si>
  <si>
    <t>Eldratha</t>
  </si>
  <si>
    <t>Eletha</t>
  </si>
  <si>
    <t>Ellarian</t>
  </si>
  <si>
    <t>Ellifain</t>
  </si>
  <si>
    <t>Eloen</t>
  </si>
  <si>
    <t>Elora</t>
  </si>
  <si>
    <t>Elvandaruil</t>
  </si>
  <si>
    <t>Embrae</t>
  </si>
  <si>
    <t>Emvorele</t>
  </si>
  <si>
    <t>Enajharas</t>
  </si>
  <si>
    <t>Eshenesra</t>
  </si>
  <si>
    <t>Essaerae</t>
  </si>
  <si>
    <t>Esta</t>
  </si>
  <si>
    <t>Ester</t>
  </si>
  <si>
    <t>Esyae</t>
  </si>
  <si>
    <t>Faranni</t>
  </si>
  <si>
    <t>Faunalyn</t>
  </si>
  <si>
    <t>Fhaertala</t>
  </si>
  <si>
    <t>Fieryat</t>
  </si>
  <si>
    <t>Filaurel</t>
  </si>
  <si>
    <t>Filauria</t>
  </si>
  <si>
    <t>Fildaerae</t>
  </si>
  <si>
    <t>Fox-at-Twilight</t>
  </si>
  <si>
    <t>Francessca</t>
  </si>
  <si>
    <t>Gaelira</t>
  </si>
  <si>
    <t>Gaerradh</t>
  </si>
  <si>
    <t>Gaylia</t>
  </si>
  <si>
    <t>Gemstarzah</t>
  </si>
  <si>
    <t>Ghilanna</t>
  </si>
  <si>
    <t>Glynnii</t>
  </si>
  <si>
    <t>Gweyr</t>
  </si>
  <si>
    <t>Gwynnestri</t>
  </si>
  <si>
    <t>Gylledha</t>
  </si>
  <si>
    <t>Haalija</t>
  </si>
  <si>
    <t>Hacathra</t>
  </si>
  <si>
    <t>Halaema</t>
  </si>
  <si>
    <t>Halama</t>
  </si>
  <si>
    <t>Halanaestra</t>
  </si>
  <si>
    <t>Hamalitia</t>
  </si>
  <si>
    <t>Haramara</t>
  </si>
  <si>
    <t>Helartha</t>
  </si>
  <si>
    <t>Hhora</t>
  </si>
  <si>
    <t>Holone</t>
  </si>
  <si>
    <t>Huquethae</t>
  </si>
  <si>
    <t>Hycis</t>
  </si>
  <si>
    <t>Iahalae</t>
  </si>
  <si>
    <t>Ialantha</t>
  </si>
  <si>
    <t>Ikeshia</t>
  </si>
  <si>
    <t>Ildilyntra</t>
  </si>
  <si>
    <t>Ilmadia</t>
  </si>
  <si>
    <t>Ilyrana</t>
  </si>
  <si>
    <t>Ilythyrra</t>
  </si>
  <si>
    <t>Imdalace</t>
  </si>
  <si>
    <t>Imizael</t>
  </si>
  <si>
    <t>Immianthe</t>
  </si>
  <si>
    <t>Imra</t>
  </si>
  <si>
    <t>Imramarthree</t>
  </si>
  <si>
    <t>Imryll</t>
  </si>
  <si>
    <t>Innovindil</t>
  </si>
  <si>
    <t>Ioelena</t>
  </si>
  <si>
    <t>Irhaal</t>
  </si>
  <si>
    <t>Isciira</t>
  </si>
  <si>
    <t>Ithrythra</t>
  </si>
  <si>
    <t>Itiireae</t>
  </si>
  <si>
    <t>Itylra</t>
  </si>
  <si>
    <t>Jastra</t>
  </si>
  <si>
    <t>Jeardra</t>
  </si>
  <si>
    <t>Jhaer</t>
  </si>
  <si>
    <t>Jhalass</t>
  </si>
  <si>
    <t>Jhanandra</t>
  </si>
  <si>
    <t>Jhaumrithe</t>
  </si>
  <si>
    <t>Jhiilsraa</t>
  </si>
  <si>
    <t>Ilsevel</t>
  </si>
  <si>
    <t>Isilfarrel</t>
  </si>
  <si>
    <t>Kavrala</t>
  </si>
  <si>
    <t>Kaylessa</t>
  </si>
  <si>
    <t>Keerla</t>
  </si>
  <si>
    <t>Keishara</t>
  </si>
  <si>
    <t>Kethryllia</t>
  </si>
  <si>
    <t>Keya</t>
  </si>
  <si>
    <t>Khiipaera</t>
  </si>
  <si>
    <t>Kileontheal</t>
  </si>
  <si>
    <t>Kythaela</t>
  </si>
  <si>
    <t>Laamtora</t>
  </si>
  <si>
    <t>Laerdya</t>
  </si>
  <si>
    <t>Laerune</t>
  </si>
  <si>
    <t>Laurlaethee</t>
  </si>
  <si>
    <t>Lazziar</t>
  </si>
  <si>
    <t>Leilatha</t>
  </si>
  <si>
    <t>Liluth</t>
  </si>
  <si>
    <t>Llamryl</t>
  </si>
  <si>
    <t>Lorelei</t>
  </si>
  <si>
    <t>Lydi’aleera</t>
  </si>
  <si>
    <t>Lyraesel</t>
  </si>
  <si>
    <t>Maaleshiira</t>
  </si>
  <si>
    <t>Maelyrra</t>
  </si>
  <si>
    <t>Maeralya</t>
  </si>
  <si>
    <t>Maith</t>
  </si>
  <si>
    <t>Makaela</t>
  </si>
  <si>
    <t>Malruthiia</t>
  </si>
  <si>
    <t>Mariona</t>
  </si>
  <si>
    <t>Marissa</t>
  </si>
  <si>
    <t>Martainn</t>
  </si>
  <si>
    <t>Meira</t>
  </si>
  <si>
    <t>Melarue</t>
  </si>
  <si>
    <t>Merethyl</t>
  </si>
  <si>
    <t>Merialeth</t>
  </si>
  <si>
    <t>Meriel</t>
  </si>
  <si>
    <t>Merlara</t>
  </si>
  <si>
    <t>Mistale</t>
  </si>
  <si>
    <t>Mladris</t>
  </si>
  <si>
    <t>Mnuvae</t>
  </si>
  <si>
    <t>Morgwais</t>
  </si>
  <si>
    <t>Moryggan</t>
  </si>
  <si>
    <t>Muerlara</t>
  </si>
  <si>
    <t>Mylaela</t>
  </si>
  <si>
    <t>Mylaerla</t>
  </si>
  <si>
    <t>Myriani</t>
  </si>
  <si>
    <t>Naevys</t>
  </si>
  <si>
    <t>Nakiasha</t>
  </si>
  <si>
    <t>Nambra</t>
  </si>
  <si>
    <t>Namyriitha</t>
  </si>
  <si>
    <t>Nanalethalee</t>
  </si>
  <si>
    <t>Nanthee</t>
  </si>
  <si>
    <t>Nanthleene</t>
  </si>
  <si>
    <t>Naumys</t>
  </si>
  <si>
    <t>Nlaea</t>
  </si>
  <si>
    <t>Nuala</t>
  </si>
  <si>
    <t>Nueleth</t>
  </si>
  <si>
    <t>Nuovis</t>
  </si>
  <si>
    <t>Nushala</t>
  </si>
  <si>
    <t>Nylaathria</t>
  </si>
  <si>
    <t>Ochyllyss</t>
  </si>
  <si>
    <t>Oluevaera</t>
  </si>
  <si>
    <t>Phaerl</t>
  </si>
  <si>
    <t>Phantyni</t>
  </si>
  <si>
    <t>Phelorna</t>
  </si>
  <si>
    <t>Phuingara</t>
  </si>
  <si>
    <t>Phyrra</t>
  </si>
  <si>
    <t>Pollae</t>
  </si>
  <si>
    <t>Puorlaas</t>
  </si>
  <si>
    <t>Qemba</t>
  </si>
  <si>
    <t>Quamara</t>
  </si>
  <si>
    <t>Raejiisa</t>
  </si>
  <si>
    <t>Raerauntha</t>
  </si>
  <si>
    <t>Rathiain</t>
  </si>
  <si>
    <t>Renestrae</t>
  </si>
  <si>
    <t>Roanmara</t>
  </si>
  <si>
    <t>Ruavia</t>
  </si>
  <si>
    <t>Rubrae</t>
  </si>
  <si>
    <t>Ryllae</t>
  </si>
  <si>
    <t>Saelihn</t>
  </si>
  <si>
    <t>Saélihn</t>
  </si>
  <si>
    <t>Saida</t>
  </si>
  <si>
    <t>Sakaala</t>
  </si>
  <si>
    <t>Sariandi</t>
  </si>
  <si>
    <t>Sarya</t>
  </si>
  <si>
    <t>Schimae</t>
  </si>
  <si>
    <t>Seirye</t>
  </si>
  <si>
    <t>Seldanna</t>
  </si>
  <si>
    <t>Selussa</t>
  </si>
  <si>
    <t>Séonais</t>
  </si>
  <si>
    <t>Shadowmoon</t>
  </si>
  <si>
    <t>Shalana</t>
  </si>
  <si>
    <t>Shalantha</t>
  </si>
  <si>
    <t>Shalendra</t>
  </si>
  <si>
    <t>Shalheira</t>
  </si>
  <si>
    <t>Shandalar</t>
  </si>
  <si>
    <t>Shanyrria</t>
  </si>
  <si>
    <t>Sharaera</t>
  </si>
  <si>
    <t>Sheedra</t>
  </si>
  <si>
    <t>Sheera</t>
  </si>
  <si>
    <t>Shialaevar</t>
  </si>
  <si>
    <t>Shi’larra</t>
  </si>
  <si>
    <t>Shoulree</t>
  </si>
  <si>
    <t>Shyael</t>
  </si>
  <si>
    <t>Shyllisyrr</t>
  </si>
  <si>
    <t>Sinnafain</t>
  </si>
  <si>
    <t>Soliania</t>
  </si>
  <si>
    <t>Soora</t>
  </si>
  <si>
    <t>Sorsasta</t>
  </si>
  <si>
    <t>Susklahava</t>
  </si>
  <si>
    <t>Sylmae</t>
  </si>
  <si>
    <t>Symrustar</t>
  </si>
  <si>
    <t>Syndra</t>
  </si>
  <si>
    <t>Synnorha</t>
  </si>
  <si>
    <t>Syrune</t>
  </si>
  <si>
    <t>Syviis</t>
  </si>
  <si>
    <t>Taenya</t>
  </si>
  <si>
    <t>Takari</t>
  </si>
  <si>
    <t>Talaedra</t>
  </si>
  <si>
    <t>Talanashta</t>
  </si>
  <si>
    <t>Talila</t>
  </si>
  <si>
    <t>Talindra</t>
  </si>
  <si>
    <t>Tamara</t>
  </si>
  <si>
    <t>Tarasynora</t>
  </si>
  <si>
    <t>Teharissa</t>
  </si>
  <si>
    <t>Teryani</t>
  </si>
  <si>
    <t>Thalaera</t>
  </si>
  <si>
    <t>Thaola</t>
  </si>
  <si>
    <t>Thasitalia</t>
  </si>
  <si>
    <t>Throleatha</t>
  </si>
  <si>
    <t>Tiatha</t>
  </si>
  <si>
    <t>Tira’allara</t>
  </si>
  <si>
    <t>Tiriara</t>
  </si>
  <si>
    <t>Tisharu</t>
  </si>
  <si>
    <t>Tsarra</t>
  </si>
  <si>
    <t>Tyllaetha,</t>
  </si>
  <si>
    <t>Ulelesse</t>
  </si>
  <si>
    <t>Unae</t>
  </si>
  <si>
    <t>Urmicca</t>
  </si>
  <si>
    <t>Uschymna</t>
  </si>
  <si>
    <t>Vaervenshalice</t>
  </si>
  <si>
    <t>Valindra</t>
  </si>
  <si>
    <t>Vashti</t>
  </si>
  <si>
    <t>Velaethaunyl</t>
  </si>
  <si>
    <t>Velatha</t>
  </si>
  <si>
    <t>Veluthil</t>
  </si>
  <si>
    <t>Verrona</t>
  </si>
  <si>
    <t>Vestele</t>
  </si>
  <si>
    <t>Viansola</t>
  </si>
  <si>
    <t>Winterflower</t>
  </si>
  <si>
    <t>Xiiltharra</t>
  </si>
  <si>
    <t>Yaereene</t>
  </si>
  <si>
    <t>Yalanilue</t>
  </si>
  <si>
    <t>Yathlanae</t>
  </si>
  <si>
    <t>Yeshelné</t>
  </si>
  <si>
    <t>Yghiilra</t>
  </si>
  <si>
    <t>Ygrainne</t>
  </si>
  <si>
    <t>Ynshael</t>
  </si>
  <si>
    <t>Yrlissa</t>
  </si>
  <si>
    <t>Yrneha</t>
  </si>
  <si>
    <t>Yrthraethra</t>
  </si>
  <si>
    <t>Ysmyrlda</t>
  </si>
  <si>
    <t>Ytharra</t>
  </si>
  <si>
    <t>Yulmanda</t>
  </si>
  <si>
    <t>Z’Beryl</t>
  </si>
  <si>
    <t>Zhuirentel</t>
  </si>
  <si>
    <t>Zoastria</t>
  </si>
  <si>
    <t>Aelasar</t>
  </si>
  <si>
    <t>Aelorothi</t>
  </si>
  <si>
    <t>Aendryr</t>
  </si>
  <si>
    <t>Aerasumé</t>
  </si>
  <si>
    <t>Aeravansel</t>
  </si>
  <si>
    <t>Agayous</t>
  </si>
  <si>
    <t>Agrivar</t>
  </si>
  <si>
    <t>Ahmaquissar</t>
  </si>
  <si>
    <t>Alaenree</t>
  </si>
  <si>
    <t>Alantar</t>
  </si>
  <si>
    <t>Alastrarra</t>
  </si>
  <si>
    <t>Alenuath</t>
  </si>
  <si>
    <t>Alerothi</t>
  </si>
  <si>
    <t>Alluth</t>
  </si>
  <si>
    <t>Aluianti</t>
  </si>
  <si>
    <t>Aluviirsaan</t>
  </si>
  <si>
    <t>Amalith</t>
  </si>
  <si>
    <t>Amarallis</t>
  </si>
  <si>
    <t>Amaratharr</t>
  </si>
  <si>
    <t>Amarthen</t>
  </si>
  <si>
    <t>Ammath</t>
  </si>
  <si>
    <t>Amrallatha</t>
  </si>
  <si>
    <t>Anuaer</t>
  </si>
  <si>
    <t>Argentaamn</t>
  </si>
  <si>
    <t>Arren</t>
  </si>
  <si>
    <t>Ash</t>
  </si>
  <si>
    <t>Ashgrove</t>
  </si>
  <si>
    <t>Audark</t>
  </si>
  <si>
    <t>Auglamyr</t>
  </si>
  <si>
    <t>Auglathla</t>
  </si>
  <si>
    <t>Aunglor</t>
  </si>
  <si>
    <t>Autumnfire</t>
  </si>
  <si>
    <t>Berethryl</t>
  </si>
  <si>
    <t>Berilan</t>
  </si>
  <si>
    <t>Bharaclaiev</t>
  </si>
  <si>
    <t>Bhephel</t>
  </si>
  <si>
    <t>Blackhelm</t>
  </si>
  <si>
    <t>Braegen</t>
  </si>
  <si>
    <t>Briarbosk</t>
  </si>
  <si>
    <t>Brightcloak</t>
  </si>
  <si>
    <t>Brightsong</t>
  </si>
  <si>
    <t>Brightwing</t>
  </si>
  <si>
    <t>Caersaelk</t>
  </si>
  <si>
    <t>Calaudra</t>
  </si>
  <si>
    <t>Calauth</t>
  </si>
  <si>
    <t>Camusiil</t>
  </si>
  <si>
    <t>Cathdeiryn</t>
  </si>
  <si>
    <t>Ceretlan</t>
  </si>
  <si>
    <t>Chaadren</t>
  </si>
  <si>
    <t>Chamaranthe</t>
  </si>
  <si>
    <t>Clatharla</t>
  </si>
  <si>
    <t>Cormyth</t>
  </si>
  <si>
    <t>Coudoarluth</t>
  </si>
  <si>
    <t>Craulnober</t>
  </si>
  <si>
    <t>Crystalembers</t>
  </si>
  <si>
    <t>Dahast</t>
  </si>
  <si>
    <t>Dawnhorn</t>
  </si>
  <si>
    <t>Dhorinshyl</t>
  </si>
  <si>
    <t>Dlardrageth</t>
  </si>
  <si>
    <t>Doedance</t>
  </si>
  <si>
    <t>Donnathlascen</t>
  </si>
  <si>
    <t>Dracoseir</t>
  </si>
  <si>
    <t>Dree</t>
  </si>
  <si>
    <t>Duirsar</t>
  </si>
  <si>
    <t>Duskmere</t>
  </si>
  <si>
    <t>Duthjuth</t>
  </si>
  <si>
    <t>Ealoeth</t>
  </si>
  <si>
    <t>Echorn</t>
  </si>
  <si>
    <t>Elaéyadar</t>
  </si>
  <si>
    <t>Elassidil</t>
  </si>
  <si>
    <t>Elian</t>
  </si>
  <si>
    <t>Elond</t>
  </si>
  <si>
    <t>Eluarshee</t>
  </si>
  <si>
    <t>Ereuvyn</t>
  </si>
  <si>
    <t>Erkowe</t>
  </si>
  <si>
    <t>Erladden</t>
  </si>
  <si>
    <t>Eroth</t>
  </si>
  <si>
    <t>Erlshade</t>
  </si>
  <si>
    <t>Estelda</t>
  </si>
  <si>
    <t>Evanara</t>
  </si>
  <si>
    <t>Eveningfall</t>
  </si>
  <si>
    <t>Everlove</t>
  </si>
  <si>
    <t>Evioro</t>
  </si>
  <si>
    <t>Eyriendor</t>
  </si>
  <si>
    <t>Faerondaerl</t>
  </si>
  <si>
    <t>Faerondarl</t>
  </si>
  <si>
    <t>Falanae</t>
  </si>
  <si>
    <t>Felinaun</t>
  </si>
  <si>
    <t>Fellmirr</t>
  </si>
  <si>
    <t>Fenmarel</t>
  </si>
  <si>
    <t>Fflannidan</t>
  </si>
  <si>
    <t>Floshin</t>
  </si>
  <si>
    <t>Fynnasla</t>
  </si>
  <si>
    <t>Gildenguard</t>
  </si>
  <si>
    <t>Goadulphyn</t>
  </si>
  <si>
    <t>Goldenleaf</t>
  </si>
  <si>
    <t>Gourael</t>
  </si>
  <si>
    <t>Greencloak</t>
  </si>
  <si>
    <t>Gwaelon</t>
  </si>
  <si>
    <t>Haell</t>
  </si>
  <si>
    <t>Haerlgent</t>
  </si>
  <si>
    <t>Haladar</t>
  </si>
  <si>
    <t>Hawksong</t>
  </si>
  <si>
    <t>Haevaul</t>
  </si>
  <si>
    <t>Halavanthlarr</t>
  </si>
  <si>
    <t>Hlarr</t>
  </si>
  <si>
    <t>Hyshaanth</t>
  </si>
  <si>
    <t>Iazymnal</t>
  </si>
  <si>
    <t>Ibryiil</t>
  </si>
  <si>
    <t>Ilbaereth</t>
  </si>
  <si>
    <t>Ilbenalu</t>
  </si>
  <si>
    <t>Ildacer</t>
  </si>
  <si>
    <t>Ildroun</t>
  </si>
  <si>
    <t>Iliathor</t>
  </si>
  <si>
    <t>Iliathorr</t>
  </si>
  <si>
    <t>Ilnatar</t>
  </si>
  <si>
    <t>Immeril</t>
  </si>
  <si>
    <t>Ipyllasc</t>
  </si>
  <si>
    <t>Irian</t>
  </si>
  <si>
    <t>Irithyl</t>
  </si>
  <si>
    <t>Ithruen</t>
  </si>
  <si>
    <t>Iydril</t>
  </si>
  <si>
    <t>Jaglene</t>
  </si>
  <si>
    <t>Kadelaryn</t>
  </si>
  <si>
    <t>Kelerandri</t>
  </si>
  <si>
    <t>Kelpor’ral</t>
  </si>
  <si>
    <t>Keove</t>
  </si>
  <si>
    <t>Kevanarial</t>
  </si>
  <si>
    <t>Korianthil</t>
  </si>
  <si>
    <t>Kraok</t>
  </si>
  <si>
    <t>Laelithar</t>
  </si>
  <si>
    <t>Laralytha</t>
  </si>
  <si>
    <t>Larenthanil</t>
  </si>
  <si>
    <t>Larethian</t>
  </si>
  <si>
    <t>Laughingwater</t>
  </si>
  <si>
    <t>Leafbower</t>
  </si>
  <si>
    <t>Leafsigil</t>
  </si>
  <si>
    <t>Le’Quella</t>
  </si>
  <si>
    <t>Lharithlyn</t>
  </si>
  <si>
    <t>Lhoril</t>
  </si>
  <si>
    <t>Llundlar</t>
  </si>
  <si>
    <t>Loceath</t>
  </si>
  <si>
    <t>Lightshiver</t>
  </si>
  <si>
    <t>Maerdrym</t>
  </si>
  <si>
    <t>Melruth</t>
  </si>
  <si>
    <t>Meirityn</t>
  </si>
  <si>
    <t>M'Haaren</t>
  </si>
  <si>
    <t>Miritar</t>
  </si>
  <si>
    <t>Mistrivvin</t>
  </si>
  <si>
    <t>Mistwinter</t>
  </si>
  <si>
    <t>Mithalvarin</t>
  </si>
  <si>
    <t>Moonbow</t>
  </si>
  <si>
    <t>Moondown</t>
  </si>
  <si>
    <t>Moonflower</t>
  </si>
  <si>
    <t>Moonglade</t>
  </si>
  <si>
    <t>Moonglamaer</t>
  </si>
  <si>
    <t>Moonsnow</t>
  </si>
  <si>
    <t>Moonweather</t>
  </si>
  <si>
    <t>Morningdove</t>
  </si>
  <si>
    <t>Mornmist</t>
  </si>
  <si>
    <t>Mrhulaedir</t>
  </si>
  <si>
    <t>Nacnar</t>
  </si>
  <si>
    <t>Naelgrath</t>
  </si>
  <si>
    <t>Narlbeth</t>
  </si>
  <si>
    <t>Neirdre</t>
  </si>
  <si>
    <t>Nelnueve</t>
  </si>
  <si>
    <t>Never</t>
  </si>
  <si>
    <t>Nhachashaal</t>
  </si>
  <si>
    <t>Nhaéslal</t>
  </si>
  <si>
    <t>Nharimlur</t>
  </si>
  <si>
    <t>Nightstar</t>
  </si>
  <si>
    <t>Nightwing</t>
  </si>
  <si>
    <t>Nihmedu</t>
  </si>
  <si>
    <t>Ni’Tessine</t>
  </si>
  <si>
    <t>Nierde</t>
  </si>
  <si>
    <t>Nightmeadow</t>
  </si>
  <si>
    <t>Nimesin</t>
  </si>
  <si>
    <t>Nolbrae</t>
  </si>
  <si>
    <t>Nyamtharsar</t>
  </si>
  <si>
    <t>Nyntynel</t>
  </si>
  <si>
    <t>Oakstaff</t>
  </si>
  <si>
    <t>Oakwood</t>
  </si>
  <si>
    <t>Olortynnal</t>
  </si>
  <si>
    <t>Olyrnn</t>
  </si>
  <si>
    <t>Omberdawn</t>
  </si>
  <si>
    <t>Ongluth</t>
  </si>
  <si>
    <t>Orama</t>
  </si>
  <si>
    <t>Orbryn</t>
  </si>
  <si>
    <t>Oumryn</t>
  </si>
  <si>
    <t>Phenthae</t>
  </si>
  <si>
    <t>Pholont</t>
  </si>
  <si>
    <t>Presrae</t>
  </si>
  <si>
    <t>Q'Naepp,</t>
  </si>
  <si>
    <t>Rachiilstar</t>
  </si>
  <si>
    <t>Raedrimn</t>
  </si>
  <si>
    <t>Raryndur</t>
  </si>
  <si>
    <t>Reithel</t>
  </si>
  <si>
    <t>Revven</t>
  </si>
  <si>
    <t>Rhaevaern</t>
  </si>
  <si>
    <t>Rhuidhen</t>
  </si>
  <si>
    <t>Rhyllgallohyr</t>
  </si>
  <si>
    <t>Rivleam</t>
  </si>
  <si>
    <t>Rivvikyn</t>
  </si>
  <si>
    <t>Runemaster</t>
  </si>
  <si>
    <t>Sarsantyr</t>
  </si>
  <si>
    <t>Selakiir</t>
  </si>
  <si>
    <t>Selmer</t>
  </si>
  <si>
    <t>Selorn</t>
  </si>
  <si>
    <t>Shadowmantle</t>
  </si>
  <si>
    <t>Shadowwater</t>
  </si>
  <si>
    <t>Shaeremae</t>
  </si>
  <si>
    <t>Shaethe</t>
  </si>
  <si>
    <t>Shalandalan</t>
  </si>
  <si>
    <t>Sharrith</t>
  </si>
  <si>
    <t>Shaurlanglar</t>
  </si>
  <si>
    <t>Shraiee</t>
  </si>
  <si>
    <t>Shyr</t>
  </si>
  <si>
    <t>Sicafei</t>
  </si>
  <si>
    <t>Siltral</t>
  </si>
  <si>
    <t>Silverbow</t>
  </si>
  <si>
    <t>Silverhand</t>
  </si>
  <si>
    <t>Silveroak</t>
  </si>
  <si>
    <t>Silverspear</t>
  </si>
  <si>
    <t>Sinaran</t>
  </si>
  <si>
    <t>Slenderbow</t>
  </si>
  <si>
    <t>Spellstalker</t>
  </si>
  <si>
    <t>Soryn</t>
  </si>
  <si>
    <t>Srinshee</t>
  </si>
  <si>
    <t>Starnar</t>
  </si>
  <si>
    <t>Starbrow</t>
  </si>
  <si>
    <t>Starglance</t>
  </si>
  <si>
    <t>Starglow</t>
  </si>
  <si>
    <t>Starym</t>
  </si>
  <si>
    <t>Stillhawk</t>
  </si>
  <si>
    <t>Stilmyst</t>
  </si>
  <si>
    <t>Straeth</t>
  </si>
  <si>
    <t>Strongbow</t>
  </si>
  <si>
    <t>Suldusk</t>
  </si>
  <si>
    <t>Sultaasar</t>
  </si>
  <si>
    <t>Summerstars</t>
  </si>
  <si>
    <t>Sunweaver</t>
  </si>
  <si>
    <t>Swordstar</t>
  </si>
  <si>
    <t>Symbaern</t>
  </si>
  <si>
    <t>Talandren</t>
  </si>
  <si>
    <t>Talesspur</t>
  </si>
  <si>
    <t>Tamlyranth</t>
  </si>
  <si>
    <t>Tanagathor</t>
  </si>
  <si>
    <t>Tarnruth</t>
  </si>
  <si>
    <t>Tarsap</t>
  </si>
  <si>
    <t>Tarsis</t>
  </si>
  <si>
    <t>Taurntyrith</t>
  </si>
  <si>
    <t>Tellynnan</t>
  </si>
  <si>
    <t>Teshurr</t>
  </si>
  <si>
    <t>Thea</t>
  </si>
  <si>
    <t>Tlanbourn</t>
  </si>
  <si>
    <t>Tohrthaal</t>
  </si>
  <si>
    <t>Toralynnsyr</t>
  </si>
  <si>
    <t>Tornglara</t>
  </si>
  <si>
    <t>Torthtan</t>
  </si>
  <si>
    <t>Toryvhallen</t>
  </si>
  <si>
    <t>Trueshot</t>
  </si>
  <si>
    <t>Tsornyl</t>
  </si>
  <si>
    <t>Tyrneladhelu</t>
  </si>
  <si>
    <t>Uirthur</t>
  </si>
  <si>
    <t>Ulondarr</t>
  </si>
  <si>
    <t>Ulongyr</t>
  </si>
  <si>
    <t>Vandiir</t>
  </si>
  <si>
    <t>Veverell</t>
  </si>
  <si>
    <t>Vispasial</t>
  </si>
  <si>
    <t>Vyshaan</t>
  </si>
  <si>
    <t>Waelvor</t>
  </si>
  <si>
    <t>Whitethistle</t>
  </si>
  <si>
    <t>Windstar</t>
  </si>
  <si>
    <t>Windwalker</t>
  </si>
  <si>
    <t>Xantrani</t>
  </si>
  <si>
    <t>Yraueme</t>
  </si>
  <si>
    <t>Yridnae</t>
  </si>
  <si>
    <t>Yundraer</t>
  </si>
  <si>
    <t>Elf Male</t>
  </si>
  <si>
    <t>Elf Female</t>
  </si>
  <si>
    <t>Elf Clan</t>
  </si>
  <si>
    <t>Elf Traits</t>
  </si>
  <si>
    <t>Clan name</t>
  </si>
  <si>
    <t>A silent scout. </t>
  </si>
  <si>
    <t>Half-Elf</t>
  </si>
  <si>
    <t>Bard Background</t>
  </si>
  <si>
    <t>Bard Instrument</t>
  </si>
  <si>
    <t>Bard Instrument history</t>
  </si>
  <si>
    <t>Bard weapons and tricks</t>
  </si>
  <si>
    <t>Bard possession</t>
  </si>
  <si>
    <t>Bard hat feather</t>
  </si>
  <si>
    <t>Bard boot hide</t>
  </si>
  <si>
    <t>Bard coat hide</t>
  </si>
  <si>
    <t>Bard trait</t>
  </si>
  <si>
    <t>Bard goal</t>
  </si>
  <si>
    <t>Bard fans</t>
  </si>
  <si>
    <t>Bard tale</t>
  </si>
  <si>
    <t>Bard song</t>
  </si>
  <si>
    <t>Bard song popular</t>
  </si>
  <si>
    <t>Bard sung at</t>
  </si>
  <si>
    <t xml:space="preserve">A talented singer. </t>
  </si>
  <si>
    <t xml:space="preserve">A graceful dancer. </t>
  </si>
  <si>
    <t xml:space="preserve">A virtuoso musician. </t>
  </si>
  <si>
    <t xml:space="preserve">A captivating storyteller. </t>
  </si>
  <si>
    <t xml:space="preserve">A brilliant poet. </t>
  </si>
  <si>
    <t xml:space="preserve">A scholar of history. </t>
  </si>
  <si>
    <t xml:space="preserve">A serious actor. </t>
  </si>
  <si>
    <t xml:space="preserve">A dashing swashbuckler. </t>
  </si>
  <si>
    <t xml:space="preserve">A wise-cracking magician. </t>
  </si>
  <si>
    <t xml:space="preserve">A bold knife-thrower. </t>
  </si>
  <si>
    <t xml:space="preserve">A slippery con artist. </t>
  </si>
  <si>
    <t xml:space="preserve">A lovable jack-of-all-trades. </t>
  </si>
  <si>
    <t xml:space="preserve">A duplicitous spy. </t>
  </si>
  <si>
    <t xml:space="preserve">A witty satirist. </t>
  </si>
  <si>
    <t xml:space="preserve">A gracious knight. </t>
  </si>
  <si>
    <t xml:space="preserve">An enchanting dancer. </t>
  </si>
  <si>
    <t xml:space="preserve">A mysterious foreigner. </t>
  </si>
  <si>
    <t xml:space="preserve">A rowdy jester. </t>
  </si>
  <si>
    <t xml:space="preserve">A master of riddles. </t>
  </si>
  <si>
    <t xml:space="preserve">A terrible singer. </t>
  </si>
  <si>
    <t>Bagpipes.</t>
  </si>
  <si>
    <t xml:space="preserve">Lyre. </t>
  </si>
  <si>
    <t>Bells.</t>
  </si>
  <si>
    <t>Mandolin.</t>
  </si>
  <si>
    <t>Castanets.</t>
  </si>
  <si>
    <t>Ocarina.</t>
  </si>
  <si>
    <t>Cymbals.</t>
  </si>
  <si>
    <t>Panpipes.</t>
  </si>
  <si>
    <t>Drum.</t>
  </si>
  <si>
    <t>Shawm.</t>
  </si>
  <si>
    <t>Fiddle.</t>
  </si>
  <si>
    <t xml:space="preserve">Tabor. </t>
  </si>
  <si>
    <t>Flute.</t>
  </si>
  <si>
    <t>Tambourine.</t>
  </si>
  <si>
    <t>Harmonica.</t>
  </si>
  <si>
    <t>Trumpet.</t>
  </si>
  <si>
    <t>Harp</t>
  </si>
  <si>
    <t xml:space="preserve">Viol. </t>
  </si>
  <si>
    <t>Lute.</t>
  </si>
  <si>
    <t xml:space="preserve">Zither. </t>
  </si>
  <si>
    <t xml:space="preserve">A gift from a wealthy patron. </t>
  </si>
  <si>
    <t xml:space="preserve">A family heirloom. </t>
  </si>
  <si>
    <t xml:space="preserve">Very old, but well maintained. </t>
  </si>
  <si>
    <t xml:space="preserve">An old, worn-out thing. </t>
  </si>
  <si>
    <t xml:space="preserve">In need of some repair. </t>
  </si>
  <si>
    <t xml:space="preserve">Always out-of-tune. </t>
  </si>
  <si>
    <t xml:space="preserve">Decorated with gold. </t>
  </si>
  <si>
    <t>The product of a master craftsman.</t>
  </si>
  <si>
    <t xml:space="preserve">Something the bard made. </t>
  </si>
  <si>
    <t xml:space="preserve">The instrument of a legendary bard. </t>
  </si>
  <si>
    <t xml:space="preserve">Several sharp daggers. </t>
  </si>
  <si>
    <t xml:space="preserve">A lightweight saber. </t>
  </si>
  <si>
    <t xml:space="preserve">A finely-crafted shortsword. </t>
  </si>
  <si>
    <t>A longsword and a good luck charm.</t>
  </si>
  <si>
    <t>Some well-balanced throwing knives.</t>
  </si>
  <si>
    <t xml:space="preserve">A quick-winding crossbow. </t>
  </si>
  <si>
    <t xml:space="preserve">A bow of elvish make. </t>
  </si>
  <si>
    <t>A shortsword of dwarvish make.</t>
  </si>
  <si>
    <t xml:space="preserve">A heavy wooden staff. </t>
  </si>
  <si>
    <t xml:space="preserve">A dagger in each boot. </t>
  </si>
  <si>
    <t xml:space="preserve">A book of hexes and curses. </t>
  </si>
  <si>
    <t xml:space="preserve">Quick wits and a gift for lying. </t>
  </si>
  <si>
    <t xml:space="preserve">A compromising love letter. </t>
  </si>
  <si>
    <t xml:space="preserve">A lacy favor from a maiden. </t>
  </si>
  <si>
    <t>Some parchment with half-finished poems.</t>
  </si>
  <si>
    <t xml:space="preserve">Some faded sheet music. </t>
  </si>
  <si>
    <t xml:space="preserve">A silk handkerchief. </t>
  </si>
  <si>
    <t>The key to well-guarded treasure chest.</t>
  </si>
  <si>
    <t xml:space="preserve">A bundle of old books. </t>
  </si>
  <si>
    <t>An alchemy kit and several potions.</t>
  </si>
  <si>
    <t>A pocket field guide to local herbs.</t>
  </si>
  <si>
    <t xml:space="preserve">A faded old map. </t>
  </si>
  <si>
    <t>A tome of legends and historical lore.</t>
  </si>
  <si>
    <t xml:space="preserve">A jar of mustache wax. </t>
  </si>
  <si>
    <t xml:space="preserve">Tight-fitting pants. </t>
  </si>
  <si>
    <t xml:space="preserve">A low-cut shirt. </t>
  </si>
  <si>
    <t xml:space="preserve">A revealing set of breeches. </t>
  </si>
  <si>
    <t xml:space="preserve">A traveler’s cloak. </t>
  </si>
  <si>
    <t>A heavy peddler’s pack.</t>
  </si>
  <si>
    <t>A wide-brimmed hat with a large exotic feather</t>
  </si>
  <si>
    <t>Cockatrice</t>
  </si>
  <si>
    <t>giant eagle</t>
  </si>
  <si>
    <t>giant owl</t>
  </si>
  <si>
    <t>griffon</t>
  </si>
  <si>
    <t>hippogriff</t>
  </si>
  <si>
    <t>ostrich</t>
  </si>
  <si>
    <t>peacock</t>
  </si>
  <si>
    <t>phoenix</t>
  </si>
  <si>
    <t>roc</t>
  </si>
  <si>
    <t>shadowraven.</t>
  </si>
  <si>
    <t>Shiny boots made from an exotic hide</t>
  </si>
  <si>
    <t>Basilisk</t>
  </si>
  <si>
    <t>Crocodile</t>
  </si>
  <si>
    <t>Demonskin</t>
  </si>
  <si>
    <t>Dragonscale</t>
  </si>
  <si>
    <t>Drake</t>
  </si>
  <si>
    <t>Flamesnake</t>
  </si>
  <si>
    <t>lightning lizard</t>
  </si>
  <si>
    <t xml:space="preserve">wyvern. </t>
  </si>
  <si>
    <t>A coat made from an exotic hide</t>
  </si>
  <si>
    <t>Leopard</t>
  </si>
  <si>
    <t>Owlbear</t>
  </si>
  <si>
    <t>Sharkskin</t>
  </si>
  <si>
    <t>Tiger</t>
  </si>
  <si>
    <t xml:space="preserve">zebra. </t>
  </si>
  <si>
    <t xml:space="preserve">A large golden necklace. </t>
  </si>
  <si>
    <t xml:space="preserve">Flashy earrings. </t>
  </si>
  <si>
    <t xml:space="preserve">Dancing shoes. </t>
  </si>
  <si>
    <t xml:space="preserve">Too much perfume. </t>
  </si>
  <si>
    <t xml:space="preserve">A silver tongue. </t>
  </si>
  <si>
    <t xml:space="preserve">A gift for satire and wit. </t>
  </si>
  <si>
    <t xml:space="preserve">A beautiful face. </t>
  </si>
  <si>
    <t xml:space="preserve">Incredibly good looks. </t>
  </si>
  <si>
    <t xml:space="preserve">An easy smile. </t>
  </si>
  <si>
    <t xml:space="preserve">A graceful manner. </t>
  </si>
  <si>
    <t xml:space="preserve">A polite gentility. </t>
  </si>
  <si>
    <t xml:space="preserve">Impeccable manners. </t>
  </si>
  <si>
    <t xml:space="preserve">A foul mouth. </t>
  </si>
  <si>
    <t xml:space="preserve">A hearty laugh. </t>
  </si>
  <si>
    <t xml:space="preserve">An alluring quality. </t>
  </si>
  <si>
    <t xml:space="preserve">A handsome mustache. </t>
  </si>
  <si>
    <t xml:space="preserve">d12 Goal: The bard is looking </t>
  </si>
  <si>
    <t xml:space="preserve">A new tale to tell. </t>
  </si>
  <si>
    <t xml:space="preserve">Inspiration for a song. </t>
  </si>
  <si>
    <t xml:space="preserve">A beautiful muse. </t>
  </si>
  <si>
    <t>Someone to repair a musical instrument.</t>
  </si>
  <si>
    <t xml:space="preserve">A catchy melody. </t>
  </si>
  <si>
    <t xml:space="preserve">Experimental harmonies. </t>
  </si>
  <si>
    <t xml:space="preserve">An edgy dance move. </t>
  </si>
  <si>
    <t>A word that rhymes with “hippopotamus.”</t>
  </si>
  <si>
    <t xml:space="preserve">New styles of poetry. </t>
  </si>
  <si>
    <t xml:space="preserve">A legendary artifact. </t>
  </si>
  <si>
    <t xml:space="preserve">A hero to immortalize in song. </t>
  </si>
  <si>
    <t xml:space="preserve">A night of drinking and merrymaking. </t>
  </si>
  <si>
    <t>Fishermen, sailors, and pirates.</t>
  </si>
  <si>
    <t xml:space="preserve">Farmers and herders. </t>
  </si>
  <si>
    <t xml:space="preserve">Miners and travelers. </t>
  </si>
  <si>
    <t>Guards, soldiers, and sellswords.</t>
  </si>
  <si>
    <t xml:space="preserve">Members of the nobility. </t>
  </si>
  <si>
    <t xml:space="preserve">Young children. </t>
  </si>
  <si>
    <t xml:space="preserve">Idealistic youths. </t>
  </si>
  <si>
    <t>Serving girls, slaves, and harlots.</t>
  </si>
  <si>
    <t xml:space="preserve">Pretty young maidens. </t>
  </si>
  <si>
    <t xml:space="preserve">Lonely wives. </t>
  </si>
  <si>
    <t>A royal court.</t>
  </si>
  <si>
    <t>A wild mountain.</t>
  </si>
  <si>
    <t>A distant castle</t>
  </si>
  <si>
    <t>A legendary tomb.</t>
  </si>
  <si>
    <t>A frightening lair</t>
  </si>
  <si>
    <t>A great tournament.</t>
  </si>
  <si>
    <t>A foreign land.</t>
  </si>
  <si>
    <t>A dark prison cell</t>
  </si>
  <si>
    <t>A witch’s home.</t>
  </si>
  <si>
    <t>A grand festival.</t>
  </si>
  <si>
    <t>A savage land.</t>
  </si>
  <si>
    <t>A haunted castle.</t>
  </si>
  <si>
    <t>smith's daughter</t>
  </si>
  <si>
    <t>farmer's daughter</t>
  </si>
  <si>
    <t>miner's daughter</t>
  </si>
  <si>
    <t>Innkeeper's daughter</t>
  </si>
  <si>
    <t>Harlot</t>
  </si>
  <si>
    <t>lady's maid.</t>
  </si>
  <si>
    <t>Barmaid</t>
  </si>
  <si>
    <t>Farmwife</t>
  </si>
  <si>
    <t>Housemaid</t>
  </si>
  <si>
    <t>fisherman's wife</t>
  </si>
  <si>
    <t>merchant's wife</t>
  </si>
  <si>
    <t xml:space="preserve">seamstress. </t>
  </si>
  <si>
    <t>young princess</t>
  </si>
  <si>
    <t>ugly princess</t>
  </si>
  <si>
    <t>old queen</t>
  </si>
  <si>
    <t>wicked queen</t>
  </si>
  <si>
    <t>beautiful noble maiden</t>
  </si>
  <si>
    <t xml:space="preserve">old noble widow. </t>
  </si>
  <si>
    <t>young novice</t>
  </si>
  <si>
    <t>high priestess</t>
  </si>
  <si>
    <t>sister of mercy</t>
  </si>
  <si>
    <t>old prude</t>
  </si>
  <si>
    <t>Crone</t>
  </si>
  <si>
    <t>Enchantress</t>
  </si>
  <si>
    <t>gypsy woman</t>
  </si>
  <si>
    <t>fortune teller</t>
  </si>
  <si>
    <t>potion-maker</t>
  </si>
  <si>
    <t>dark sorceress.</t>
  </si>
  <si>
    <t>Alchemist</t>
  </si>
  <si>
    <t>Conjurer</t>
  </si>
  <si>
    <t>Necromancer</t>
  </si>
  <si>
    <t>Pyromancer</t>
  </si>
  <si>
    <t>old wizard</t>
  </si>
  <si>
    <t>apprentice mage.</t>
  </si>
  <si>
    <t>Barbarian</t>
  </si>
  <si>
    <t>Gladiator</t>
  </si>
  <si>
    <t>guard captain</t>
  </si>
  <si>
    <t>young knight</t>
  </si>
  <si>
    <t>old knight</t>
  </si>
  <si>
    <t xml:space="preserve">sellsword. </t>
  </si>
  <si>
    <t>Gambler</t>
  </si>
  <si>
    <t>Jester</t>
  </si>
  <si>
    <t>Outlaw</t>
  </si>
  <si>
    <t>Pirate</t>
  </si>
  <si>
    <t>Singer</t>
  </si>
  <si>
    <t>thief.</t>
  </si>
  <si>
    <t>Acolyte</t>
  </si>
  <si>
    <t>Exorcis</t>
  </si>
  <si>
    <t>old priest</t>
  </si>
  <si>
    <t>healer</t>
  </si>
  <si>
    <t>monk</t>
  </si>
  <si>
    <t>preacher</t>
  </si>
  <si>
    <t>Herder</t>
  </si>
  <si>
    <t>Blacksmith</t>
  </si>
  <si>
    <t>Miner</t>
  </si>
  <si>
    <t>Sailor</t>
  </si>
  <si>
    <t>Tailor</t>
  </si>
  <si>
    <t>Farmer</t>
  </si>
  <si>
    <t>wise king</t>
  </si>
  <si>
    <t>tyrant king</t>
  </si>
  <si>
    <t>old lord</t>
  </si>
  <si>
    <t>young lord</t>
  </si>
  <si>
    <t>handsome prince</t>
  </si>
  <si>
    <t>wealthy merchant</t>
  </si>
  <si>
    <t>Bear</t>
  </si>
  <si>
    <t>Boar</t>
  </si>
  <si>
    <t>Dragon</t>
  </si>
  <si>
    <t>Lion</t>
  </si>
  <si>
    <t>Stag</t>
  </si>
  <si>
    <t>Wolf</t>
  </si>
  <si>
    <t>Cat</t>
  </si>
  <si>
    <t>Dog</t>
  </si>
  <si>
    <t>Fox</t>
  </si>
  <si>
    <t>Rat</t>
  </si>
  <si>
    <t>Snake</t>
  </si>
  <si>
    <t>Spider</t>
  </si>
  <si>
    <t>Frog</t>
  </si>
  <si>
    <t>Fish</t>
  </si>
  <si>
    <t>Mermaid</t>
  </si>
  <si>
    <t>Octopus</t>
  </si>
  <si>
    <t>Swan</t>
  </si>
  <si>
    <t>whale.</t>
  </si>
  <si>
    <t>Dove</t>
  </si>
  <si>
    <t>Eagle</t>
  </si>
  <si>
    <t>Mockingbird</t>
  </si>
  <si>
    <t>Owl</t>
  </si>
  <si>
    <t>Raven</t>
  </si>
  <si>
    <t>Rooster</t>
  </si>
  <si>
    <t>Demon</t>
  </si>
  <si>
    <t>Giant</t>
  </si>
  <si>
    <t>Ghost</t>
  </si>
  <si>
    <t>Goblin</t>
  </si>
  <si>
    <t>ogre.</t>
  </si>
  <si>
    <t>Devil</t>
  </si>
  <si>
    <t>Battle</t>
  </si>
  <si>
    <t>Captivity</t>
  </si>
  <si>
    <t>Feast</t>
  </si>
  <si>
    <t>Fair</t>
  </si>
  <si>
    <t>Tournament</t>
  </si>
  <si>
    <t>Wedding</t>
  </si>
  <si>
    <t>Cave</t>
  </si>
  <si>
    <t>Desert</t>
  </si>
  <si>
    <t>Forest</t>
  </si>
  <si>
    <t>lake/river</t>
  </si>
  <si>
    <t>mountain</t>
  </si>
  <si>
    <t>sea</t>
  </si>
  <si>
    <t>Castle</t>
  </si>
  <si>
    <t>Garden</t>
  </si>
  <si>
    <t>inn/tavern</t>
  </si>
  <si>
    <t>market</t>
  </si>
  <si>
    <t>temple</t>
  </si>
  <si>
    <t>tomb</t>
  </si>
  <si>
    <t>It was written by a legendary bard.</t>
  </si>
  <si>
    <t>It has a subversive double meaning.</t>
  </si>
  <si>
    <t>It was banned by a tyrannical ruler.</t>
  </si>
  <si>
    <t>It was banned by a priest or priestess.</t>
  </si>
  <si>
    <t>It was a popular sovereign’s favorite.</t>
  </si>
  <si>
    <t>It was sung at a magnificent wedding feast.</t>
  </si>
  <si>
    <t>Its lyrics are bawdy and outrageous</t>
  </si>
  <si>
    <t xml:space="preserve">No one knows, but it has a catchy tune. </t>
  </si>
  <si>
    <t>Pubs and scholarly ceremonies.</t>
  </si>
  <si>
    <t xml:space="preserve">Pubs and military camps. </t>
  </si>
  <si>
    <t>Religious ceremonies and festivals.</t>
  </si>
  <si>
    <t xml:space="preserve">Royal courts and weddings. </t>
  </si>
  <si>
    <t xml:space="preserve">Taverns and aboard ships. </t>
  </si>
  <si>
    <t xml:space="preserve">Taverns and brothels. </t>
  </si>
  <si>
    <t xml:space="preserve">Taverns and mining camps. </t>
  </si>
  <si>
    <t xml:space="preserve">Tournaments. </t>
  </si>
  <si>
    <t>Bard clothes</t>
  </si>
  <si>
    <t>Oracle</t>
  </si>
  <si>
    <t>Zealot.</t>
  </si>
  <si>
    <t>Bard name</t>
  </si>
  <si>
    <t>Bard Traits</t>
  </si>
  <si>
    <t>Bard tales and songs</t>
  </si>
  <si>
    <t>Fans</t>
  </si>
  <si>
    <t>Tale</t>
  </si>
  <si>
    <t>Song popular b/c</t>
  </si>
  <si>
    <t>Bard last sung at</t>
  </si>
  <si>
    <t>Instrument</t>
  </si>
  <si>
    <t>Instrument history</t>
  </si>
  <si>
    <t>Weapons and tricks</t>
  </si>
  <si>
    <t>NPC Type</t>
  </si>
  <si>
    <t>Lord</t>
  </si>
  <si>
    <t>Noblewoman</t>
  </si>
  <si>
    <t>Squire</t>
  </si>
  <si>
    <t>Steward</t>
  </si>
  <si>
    <t>Guard</t>
  </si>
  <si>
    <t>Archer</t>
  </si>
  <si>
    <t>Chaplain</t>
  </si>
  <si>
    <t>Knight</t>
  </si>
  <si>
    <t>Cook</t>
  </si>
  <si>
    <t>Maidservant</t>
  </si>
  <si>
    <t>Horsemaster</t>
  </si>
  <si>
    <t>Huntsman</t>
  </si>
  <si>
    <t>Kennelmaster</t>
  </si>
  <si>
    <t xml:space="preserve">A patient old man. </t>
  </si>
  <si>
    <t xml:space="preserve">A wide-eyed young man. </t>
  </si>
  <si>
    <t xml:space="preserve">A hot-tempered tyrant. </t>
  </si>
  <si>
    <t xml:space="preserve">A patient and benevolent ruler. </t>
  </si>
  <si>
    <t>A guest, a member of a powerful house.</t>
  </si>
  <si>
    <t xml:space="preserve">A guest, a member of a lesser house. </t>
  </si>
  <si>
    <t xml:space="preserve">Dispose of an enemy. </t>
  </si>
  <si>
    <t xml:space="preserve">Negotiate a trade contract. </t>
  </si>
  <si>
    <t>Prepare the castle’s defenders for war.</t>
  </si>
  <si>
    <t xml:space="preserve">Sabotage a rival. </t>
  </si>
  <si>
    <t xml:space="preserve">Arrange a beneficial marriage. </t>
  </si>
  <si>
    <t>Have a good time</t>
  </si>
  <si>
    <t xml:space="preserve">Several deeds and titles. </t>
  </si>
  <si>
    <t>Several inventories and invoices.</t>
  </si>
  <si>
    <t xml:space="preserve">An extremely valuable sword. </t>
  </si>
  <si>
    <t xml:space="preserve">A letter from a powerful lord or lady. </t>
  </si>
  <si>
    <t xml:space="preserve">A wise old woman. </t>
  </si>
  <si>
    <t xml:space="preserve">A passionate young woman. </t>
  </si>
  <si>
    <t xml:space="preserve">A homely young lady. </t>
  </si>
  <si>
    <t xml:space="preserve">An acerbic wit. </t>
  </si>
  <si>
    <t>A guest, a member of a lesser house.</t>
  </si>
  <si>
    <t>Help gain revenge against a bitter rival.</t>
  </si>
  <si>
    <t>Bring to light a scandal involving an enemy.</t>
  </si>
  <si>
    <t xml:space="preserve">Secure a beneficial marriage. </t>
  </si>
  <si>
    <t>Talk some sense into her husband or father.</t>
  </si>
  <si>
    <t xml:space="preserve">Deliver a secret message. </t>
  </si>
  <si>
    <t>Share some wine and gossip.</t>
  </si>
  <si>
    <t>A family heirloom.</t>
  </si>
  <si>
    <t>A vial of perfume.</t>
  </si>
  <si>
    <t>Valuable jewels.</t>
  </si>
  <si>
    <t>A hidden dagger.</t>
  </si>
  <si>
    <t>A compromising from a love letter.</t>
  </si>
  <si>
    <t>A letter powerful ally.</t>
  </si>
  <si>
    <t>A squire from a lesser noble house.</t>
  </si>
  <si>
    <t xml:space="preserve">A frightened link boy. </t>
  </si>
  <si>
    <t xml:space="preserve">A long-time valet or squire. </t>
  </si>
  <si>
    <t>A reformed criminal-turned valet.</t>
  </si>
  <si>
    <t xml:space="preserve">A prisoner of war. </t>
  </si>
  <si>
    <t xml:space="preserve">Earn a little silver. </t>
  </si>
  <si>
    <t>Train with weapons to become a hero.</t>
  </si>
  <si>
    <t>Earn the affection of his master.</t>
  </si>
  <si>
    <t xml:space="preserve">Bring honor to his family name. </t>
  </si>
  <si>
    <t>Avoid entangling himself in a scandal.</t>
  </si>
  <si>
    <t>Have a drink and a rest.</t>
  </si>
  <si>
    <t>A gullible nature.</t>
  </si>
  <si>
    <t>An easy swagger.</t>
  </si>
  <si>
    <t>Wild, shaggy hair.</t>
  </si>
  <si>
    <t>A black eye.</t>
  </si>
  <si>
    <t>A terrible stutter.</t>
  </si>
  <si>
    <t>A thin mustache.</t>
  </si>
  <si>
    <t xml:space="preserve">The steady pay. </t>
  </si>
  <si>
    <t xml:space="preserve">The chance to bully others. </t>
  </si>
  <si>
    <t xml:space="preserve">Love of his liege’s family. </t>
  </si>
  <si>
    <t xml:space="preserve">God and country. </t>
  </si>
  <si>
    <t>The chance to demonstrate his valor.</t>
  </si>
  <si>
    <t>The possibility of being raised to a knight.</t>
  </si>
  <si>
    <t xml:space="preserve">A highly polished blade. </t>
  </si>
  <si>
    <t xml:space="preserve">A letter from a fallen comrade. </t>
  </si>
  <si>
    <t xml:space="preserve">A trophy from a fallen enemy. </t>
  </si>
  <si>
    <t xml:space="preserve">A ribbon from a sweet maiden. </t>
  </si>
  <si>
    <t xml:space="preserve">A battered old shield. </t>
  </si>
  <si>
    <t>A pair of dice and a few coins.</t>
  </si>
  <si>
    <t>An unsightly scar.</t>
  </si>
  <si>
    <t>An eager grin.</t>
  </si>
  <si>
    <t>A haughty sneer.</t>
  </si>
  <si>
    <t>A blank stare.</t>
  </si>
  <si>
    <t>A bushy mustache.</t>
  </si>
  <si>
    <t>A sour look.</t>
  </si>
  <si>
    <t>A lesser member of the liege’s house.</t>
  </si>
  <si>
    <t>A lesser member of a powerful house.</t>
  </si>
  <si>
    <t xml:space="preserve">A member of a lesser house. </t>
  </si>
  <si>
    <t xml:space="preserve">A commoner by birth. </t>
  </si>
  <si>
    <t xml:space="preserve">Obtain hard-to-get provisions. </t>
  </si>
  <si>
    <t xml:space="preserve">Deliver some letters. </t>
  </si>
  <si>
    <t xml:space="preserve">Help win over a sweetheart. </t>
  </si>
  <si>
    <t>Share a drink and a laugh.</t>
  </si>
  <si>
    <t xml:space="preserve">An eager young marksman. </t>
  </si>
  <si>
    <t xml:space="preserve">An trigger-happy hotshot. </t>
  </si>
  <si>
    <t xml:space="preserve">A braggart and a fool. </t>
  </si>
  <si>
    <t xml:space="preserve">A skilled hunter. </t>
  </si>
  <si>
    <t xml:space="preserve">An wily, old veteran. </t>
  </si>
  <si>
    <t>A local archery champion.</t>
  </si>
  <si>
    <t>Help his allies slaughter the enemy.</t>
  </si>
  <si>
    <t>Keep safe someone special in the castle.</t>
  </si>
  <si>
    <t>Hear word of any percolating wars.</t>
  </si>
  <si>
    <t xml:space="preserve">Show off his skill with the bow. </t>
  </si>
  <si>
    <t>Swap tales of the hunt or of battle.</t>
  </si>
  <si>
    <t>Eat, drink, and be merry.</t>
  </si>
  <si>
    <t xml:space="preserve">A longbow with a fraying string. </t>
  </si>
  <si>
    <t>A longbow crafted of superior wood.</t>
  </si>
  <si>
    <t>Arrows fletched with exotic feathers.</t>
  </si>
  <si>
    <t xml:space="preserve">A deck of playing cards. </t>
  </si>
  <si>
    <t>A flask containing a strong drink.</t>
  </si>
  <si>
    <t>A flute or harp.</t>
  </si>
  <si>
    <t xml:space="preserve">A devoted acolyte. </t>
  </si>
  <si>
    <t xml:space="preserve">An adept healer. </t>
  </si>
  <si>
    <t xml:space="preserve">A wise source of counsel. </t>
  </si>
  <si>
    <t xml:space="preserve">A drunken hypocrite. </t>
  </si>
  <si>
    <t>News from the surrounding lands.</t>
  </si>
  <si>
    <t>Sinners and heretics to chastise.</t>
  </si>
  <si>
    <t>The answer to an ancient mystery</t>
  </si>
  <si>
    <t>The bottom of a goblet.</t>
  </si>
  <si>
    <t xml:space="preserve">A ceremonial cudgel or staff. </t>
  </si>
  <si>
    <t>A prominently displayed holy symbol.</t>
  </si>
  <si>
    <t xml:space="preserve">A pocketbook of sacred texts. </t>
  </si>
  <si>
    <t>A wineskin.</t>
  </si>
  <si>
    <t xml:space="preserve">A beautiful youth. </t>
  </si>
  <si>
    <t xml:space="preserve">A brutish thug. </t>
  </si>
  <si>
    <t xml:space="preserve">A celebrated war hero. </t>
  </si>
  <si>
    <t xml:space="preserve">A popular tavern patron. </t>
  </si>
  <si>
    <t xml:space="preserve">A favorite among the ladies. </t>
  </si>
  <si>
    <t>Ruggedly handsome.</t>
  </si>
  <si>
    <t xml:space="preserve">Protect his liege from harm. </t>
  </si>
  <si>
    <t xml:space="preserve">Defend his liege’s lands. </t>
  </si>
  <si>
    <t>Avenge his liege’s personal grievances.</t>
  </si>
  <si>
    <t xml:space="preserve">Protect his liege’s loved ones. </t>
  </si>
  <si>
    <t>Advance his liege’s ideals or faith.</t>
  </si>
  <si>
    <t>Ride to war in his liege’s name.</t>
  </si>
  <si>
    <t xml:space="preserve">A finely crafted longsword. </t>
  </si>
  <si>
    <t xml:space="preserve">A huge greatsword. </t>
  </si>
  <si>
    <t xml:space="preserve">A well-used battleaxe. </t>
  </si>
  <si>
    <t xml:space="preserve">A heavy warhammer. </t>
  </si>
  <si>
    <t xml:space="preserve">A letter from his liege. </t>
  </si>
  <si>
    <t>A favor from a faraway maiden.</t>
  </si>
  <si>
    <t xml:space="preserve">Someone to chop onions. </t>
  </si>
  <si>
    <t xml:space="preserve">Some better cabbage. </t>
  </si>
  <si>
    <t xml:space="preserve">A good joke or story. </t>
  </si>
  <si>
    <t>The bottom of a bottle.</t>
  </si>
  <si>
    <t xml:space="preserve">A goblet of warm wine. </t>
  </si>
  <si>
    <t>A chunk of bread and a piece of cheese.</t>
  </si>
  <si>
    <t xml:space="preserve">A cup of onion soup. </t>
  </si>
  <si>
    <t>A tankard of mead.</t>
  </si>
  <si>
    <t>From a line of famous cooks</t>
  </si>
  <si>
    <t>Self-taught horrible cook</t>
  </si>
  <si>
    <t>Old ship's cook</t>
  </si>
  <si>
    <t>Former army cook</t>
  </si>
  <si>
    <t>Taught by his mother</t>
  </si>
  <si>
    <t>First cooking job</t>
  </si>
  <si>
    <t xml:space="preserve">A meticulous armorsmith. </t>
  </si>
  <si>
    <t>A blacksmith who makes decent swords.</t>
  </si>
  <si>
    <t>A farrier who can mend swords.</t>
  </si>
  <si>
    <t xml:space="preserve">A highly-skilled weaponsmith. </t>
  </si>
  <si>
    <t xml:space="preserve">A sensitive artisan. </t>
  </si>
  <si>
    <t>An expert on horses.</t>
  </si>
  <si>
    <t>Someone who can shoe horses.</t>
  </si>
  <si>
    <t xml:space="preserve">Steel of the highest quality. </t>
  </si>
  <si>
    <t xml:space="preserve">Dull blades to sharpen. </t>
  </si>
  <si>
    <t>Someone who appreciates masterful work.</t>
  </si>
  <si>
    <t>A little extra coin to help pay the bills.</t>
  </si>
  <si>
    <t>A mug of strong ale.</t>
  </si>
  <si>
    <t>A small hammer.</t>
  </si>
  <si>
    <t>A filthy rag.</t>
  </si>
  <si>
    <t>A large hammer.</t>
  </si>
  <si>
    <t>A few coins.</t>
  </si>
  <si>
    <t>A lucky charm.</t>
  </si>
  <si>
    <t>A pressed flower.</t>
  </si>
  <si>
    <t>A dwarf.</t>
  </si>
  <si>
    <t>Dressed in motley.</t>
  </si>
  <si>
    <t>Morbidly obese.</t>
  </si>
  <si>
    <t>A faux knight.</t>
  </si>
  <si>
    <t>Wearing a mask.</t>
  </si>
  <si>
    <t>A faux wizard.</t>
  </si>
  <si>
    <t xml:space="preserve">Falling stunts. </t>
  </si>
  <si>
    <t>Gorging himself with food or drink.</t>
  </si>
  <si>
    <t xml:space="preserve">Singing silly songs. </t>
  </si>
  <si>
    <t xml:space="preserve">Being hit over the head. </t>
  </si>
  <si>
    <t xml:space="preserve">Lewd gestures. </t>
  </si>
  <si>
    <t xml:space="preserve">Juggling sharp objects. </t>
  </si>
  <si>
    <t xml:space="preserve">Swallowing flames. </t>
  </si>
  <si>
    <t>Witty jokes and observations.</t>
  </si>
  <si>
    <t xml:space="preserve">Bring smiles to others’ faces. </t>
  </si>
  <si>
    <t>Get as far from this castle as he can.</t>
  </si>
  <si>
    <t>Exact vengeance against a cruel noble.</t>
  </si>
  <si>
    <t xml:space="preserve">Kiss a pretty maiden. </t>
  </si>
  <si>
    <t xml:space="preserve">Have a drink and be merry. </t>
  </si>
  <si>
    <t>Get drunk and feel numb.</t>
  </si>
  <si>
    <t xml:space="preserve">A scholar trained at a university. </t>
  </si>
  <si>
    <t>A wizard trained at an academy.</t>
  </si>
  <si>
    <t>A wizard who had apprenticed to another.</t>
  </si>
  <si>
    <t>A self-taught scholar of noble birth.</t>
  </si>
  <si>
    <t>A monk of an order famed for wisdom.</t>
  </si>
  <si>
    <t>A priest dedicated to spreading knowledge.</t>
  </si>
  <si>
    <t>Alchemy.</t>
  </si>
  <si>
    <t>Military history.</t>
  </si>
  <si>
    <t>Ancient cultures.</t>
  </si>
  <si>
    <t xml:space="preserve">Music. </t>
  </si>
  <si>
    <t>Astronomy.</t>
  </si>
  <si>
    <t>Poetry and songs.</t>
  </si>
  <si>
    <t>Herb lore.</t>
  </si>
  <si>
    <t>Political history.</t>
  </si>
  <si>
    <t>Mathematics.</t>
  </si>
  <si>
    <t>Theater and dance.</t>
  </si>
  <si>
    <t>Mineralogy.</t>
  </si>
  <si>
    <t>Theology.</t>
  </si>
  <si>
    <t>Her ladyship’s/her lordship’s favorite.</t>
  </si>
  <si>
    <t>A long-time servant of the household.</t>
  </si>
  <si>
    <t>New to the household and always in trouble.</t>
  </si>
  <si>
    <t>New to the household and eager to please.</t>
  </si>
  <si>
    <t>A foreigner, new to this land and house.</t>
  </si>
  <si>
    <t>A foreigner, who can never return home.</t>
  </si>
  <si>
    <t>A pretty smile, but crooked teeth.</t>
  </si>
  <si>
    <t xml:space="preserve">Beautiful but sad eyes. </t>
  </si>
  <si>
    <t xml:space="preserve">A wide frame. </t>
  </si>
  <si>
    <t xml:space="preserve">A bony figure. </t>
  </si>
  <si>
    <t xml:space="preserve">A wicked smile, and a sharp wit. </t>
  </si>
  <si>
    <t>Avoid being alone with a particular noble.</t>
  </si>
  <si>
    <t>Discipline one of the children in the castle.</t>
  </si>
  <si>
    <t>Earn the affection of her mistress.</t>
  </si>
  <si>
    <t>Bend your ear for an old folk tale.</t>
  </si>
  <si>
    <t>Share a bit of juicy gossip she overheard.</t>
  </si>
  <si>
    <t xml:space="preserve">Share a drink and a dance. </t>
  </si>
  <si>
    <t>A lesser member of a noble house.</t>
  </si>
  <si>
    <t xml:space="preserve">An anointed knight. </t>
  </si>
  <si>
    <t>A career soldier.</t>
  </si>
  <si>
    <t>Information regarding enemy movements.</t>
  </si>
  <si>
    <t>Reinforcements or new recruits.</t>
  </si>
  <si>
    <t>News of his or his wife’s hometown.</t>
  </si>
  <si>
    <t>Drinking companions and storytellers.</t>
  </si>
  <si>
    <t>Help passing a message to a favorite lady.</t>
  </si>
  <si>
    <t xml:space="preserve">Help saving his son or daughter from ruin. </t>
  </si>
  <si>
    <t>A knight lamed in combat years ago.</t>
  </si>
  <si>
    <t>The son of a servant to the liege’s family.</t>
  </si>
  <si>
    <t xml:space="preserve">A genius for breeding horses. </t>
  </si>
  <si>
    <t>A foreigner who grew up in the saddle.</t>
  </si>
  <si>
    <t>A sackful of oats strapped to his belt.</t>
  </si>
  <si>
    <t xml:space="preserve">A calm demeanor. </t>
  </si>
  <si>
    <t xml:space="preserve">A soft-spoken manner. </t>
  </si>
  <si>
    <t>A pointed beard.</t>
  </si>
  <si>
    <t xml:space="preserve">Keep a swift horse at-the-ready to carry his liege’s urgent messages. </t>
  </si>
  <si>
    <t xml:space="preserve">Tell a tale of a grueling ride. </t>
  </si>
  <si>
    <t>Boast about a prized young mare.</t>
  </si>
  <si>
    <t xml:space="preserve">A shady-looking character. </t>
  </si>
  <si>
    <t>The son of another servant in the castle.</t>
  </si>
  <si>
    <t>A prisoner-of-war turned servant.</t>
  </si>
  <si>
    <t>A simple-minded stable boy.</t>
  </si>
  <si>
    <t xml:space="preserve">An awkward gait. </t>
  </si>
  <si>
    <t xml:space="preserve">Incredibly large hands. </t>
  </si>
  <si>
    <t xml:space="preserve">Quite an odor. </t>
  </si>
  <si>
    <t>A patchy beard.</t>
  </si>
  <si>
    <t>Avoid being kicked by a horse.</t>
  </si>
  <si>
    <t>Rise to the position of horsemaster.</t>
  </si>
  <si>
    <t>Pet the pretty horses.</t>
  </si>
  <si>
    <t xml:space="preserve">A member of the liege’s family. </t>
  </si>
  <si>
    <t xml:space="preserve">A bastard son of a noble house. </t>
  </si>
  <si>
    <t xml:space="preserve">A gifted tracker. </t>
  </si>
  <si>
    <t xml:space="preserve">A former poacher. </t>
  </si>
  <si>
    <t xml:space="preserve">A sadistic killer. </t>
  </si>
  <si>
    <t>A kindly sportsman.</t>
  </si>
  <si>
    <t xml:space="preserve">Track an unusual beast. </t>
  </si>
  <si>
    <t xml:space="preserve">Find the lair of a rare beast. </t>
  </si>
  <si>
    <t>Find a place where game is plentiful.</t>
  </si>
  <si>
    <t xml:space="preserve">Swap tales and rumors. </t>
  </si>
  <si>
    <t xml:space="preserve">Play cards and gamble. </t>
  </si>
  <si>
    <t>Win a drinking contest.</t>
  </si>
  <si>
    <t xml:space="preserve">An eccentric dog-trainer. </t>
  </si>
  <si>
    <t xml:space="preserve">A short-tempered, portly fellow. </t>
  </si>
  <si>
    <t>A tall, gregarious fellow.</t>
  </si>
  <si>
    <t>Encourage a hunting expedition.</t>
  </si>
  <si>
    <t>Improve the breeding stock of the hounds.</t>
  </si>
  <si>
    <t xml:space="preserve">Show off a clever hound. </t>
  </si>
  <si>
    <t xml:space="preserve">Avoid questions regarding the hounds’ obedience. </t>
  </si>
  <si>
    <t xml:space="preserve">A dog whistle. </t>
  </si>
  <si>
    <t xml:space="preserve">A rope of some kind of jerky. </t>
  </si>
  <si>
    <t xml:space="preserve">A stick or club. </t>
  </si>
  <si>
    <t>A rope leash.</t>
  </si>
  <si>
    <t xml:space="preserve">A patient craftsman. </t>
  </si>
  <si>
    <t xml:space="preserve">An old archer, blind in one eye. </t>
  </si>
  <si>
    <t xml:space="preserve">A foreigner who puts unusual touches on the bows and feathers he makes. </t>
  </si>
  <si>
    <t>Skilled at mending bows and arrows, but not so good at making them from raw materials.</t>
  </si>
  <si>
    <t>Someone who can fletch arrows.</t>
  </si>
  <si>
    <t xml:space="preserve">Stray arrowheads. </t>
  </si>
  <si>
    <t xml:space="preserve">Intact arrow shafts. </t>
  </si>
  <si>
    <t xml:space="preserve">A whittling knife. </t>
  </si>
  <si>
    <t>A quiver of arrows to be mended.</t>
  </si>
  <si>
    <t xml:space="preserve">A quiver of newly made arrows. </t>
  </si>
  <si>
    <t>A bundle of fresh wood cuttings.</t>
  </si>
  <si>
    <t>Knowledge</t>
  </si>
  <si>
    <t>NPC_Type</t>
  </si>
  <si>
    <t>Note</t>
  </si>
  <si>
    <t>Table name</t>
  </si>
  <si>
    <t>Lord_traits</t>
  </si>
  <si>
    <t>Noblewoman_traits</t>
  </si>
  <si>
    <t>Squire_traits</t>
  </si>
  <si>
    <t>Steward_traits</t>
  </si>
  <si>
    <t>Worries about gold and silver.</t>
  </si>
  <si>
    <t>Worries about ale and grain.</t>
  </si>
  <si>
    <t>Worries about meat and cheese.</t>
  </si>
  <si>
    <t>Worries about ale and wine stores.</t>
  </si>
  <si>
    <t>Worries about castle repairs.</t>
  </si>
  <si>
    <t>A stash of valuable silk</t>
  </si>
  <si>
    <t>A small totem from a mage</t>
  </si>
  <si>
    <t>Keys to the local prison</t>
  </si>
  <si>
    <t>A letter of debt owed to a bookmaker</t>
  </si>
  <si>
    <t>Guard_traits</t>
  </si>
  <si>
    <t>Farmboy</t>
  </si>
  <si>
    <t>Orphan</t>
  </si>
  <si>
    <t>Lesser noble</t>
  </si>
  <si>
    <t>Younger sibling to a knight</t>
  </si>
  <si>
    <t>Sellsword</t>
  </si>
  <si>
    <t>Archer_traits</t>
  </si>
  <si>
    <t>Chaplain_traits</t>
  </si>
  <si>
    <t>Knight_traits</t>
  </si>
  <si>
    <t>Cook_traits</t>
  </si>
  <si>
    <t>Armourer_traits</t>
  </si>
  <si>
    <t>Armourer</t>
  </si>
  <si>
    <t>Fool</t>
  </si>
  <si>
    <t>Tutor_Sage</t>
  </si>
  <si>
    <t>Bowyer_Fletcher</t>
  </si>
  <si>
    <t>Fool_traits</t>
  </si>
  <si>
    <t>Tutor_Sage_traits</t>
  </si>
  <si>
    <t xml:space="preserve">Pupils views him as a trusted friend or mentor </t>
  </si>
  <si>
    <t xml:space="preserve">Pupils views him as a second father/mother. </t>
  </si>
  <si>
    <t>Pupils views him as a weakling to be antagonized and bullied.</t>
  </si>
  <si>
    <t xml:space="preserve">Pupils views him as a tyrant to be feared. </t>
  </si>
  <si>
    <t>Maidservant_traits</t>
  </si>
  <si>
    <t>Guard_Captain_traits</t>
  </si>
  <si>
    <t>Guard_Captain</t>
  </si>
  <si>
    <t>Stablehand</t>
  </si>
  <si>
    <t xml:space="preserve">Worries about the resolve of the new recruits. </t>
  </si>
  <si>
    <t xml:space="preserve">Worries about the castle’s food stores. </t>
  </si>
  <si>
    <t>Worries about sheltering too many commonfolk in a siege.</t>
  </si>
  <si>
    <t>Worries about running out of ale during a siege.</t>
  </si>
  <si>
    <t>Worries about a flaw in the castle’s design.</t>
  </si>
  <si>
    <t>Worries about bolstering the guard with new recruits.</t>
  </si>
  <si>
    <t>A token with Kingdom of thieves symbol</t>
  </si>
  <si>
    <t>Incriminating letter from an enemy</t>
  </si>
  <si>
    <t>Playing cards</t>
  </si>
  <si>
    <t>Dagger with gold inlays</t>
  </si>
  <si>
    <t>A treasure map</t>
  </si>
  <si>
    <t>Extra boots of high quality</t>
  </si>
  <si>
    <t>Horsemaster_traits</t>
  </si>
  <si>
    <t>Stablehand_traits</t>
  </si>
  <si>
    <t>Huntsman_traits</t>
  </si>
  <si>
    <t>Worries about reports of strange creatures in the region.</t>
  </si>
  <si>
    <t>Worries about the reckless behavior of a fellow hunter.</t>
  </si>
  <si>
    <t>Worries about how best to protect commonfolk’s livestock.</t>
  </si>
  <si>
    <t>Worries about bringing enough wine on the next hunt.</t>
  </si>
  <si>
    <t>Worries about pests damaging nearby crops or forests.</t>
  </si>
  <si>
    <t>Worries about a disease ravaging the wild game.</t>
  </si>
  <si>
    <t>Kennelmaster_traits</t>
  </si>
  <si>
    <t>Bowyer_Fletcher_traits</t>
  </si>
  <si>
    <t>Special type traits</t>
  </si>
  <si>
    <t>Plot_hook</t>
  </si>
  <si>
    <t>Hook</t>
  </si>
  <si>
    <t>has recently obtained a map to a great treasure.</t>
  </si>
  <si>
    <t>house was recently burned down by a mysterious fire.</t>
  </si>
  <si>
    <t>house was recently destroyed by a mysterious earthquake.</t>
  </si>
  <si>
    <t>house was recently destroyed by a mysterious tornado.</t>
  </si>
  <si>
    <t>has recently obtained a map to an old and forgotten civilization.</t>
  </si>
  <si>
    <t>is looking for a lost sister</t>
  </si>
  <si>
    <t>is looking for a lost brother</t>
  </si>
  <si>
    <t>is looking for a lost friend</t>
  </si>
  <si>
    <t>is looking for a lost son</t>
  </si>
  <si>
    <t>is looking for a lost daughter</t>
  </si>
  <si>
    <t>is looking for a lost partner</t>
  </si>
  <si>
    <t>is looking for a lost cousin</t>
  </si>
  <si>
    <t>is looking for a lost childhood friend.</t>
  </si>
  <si>
    <t>is looking for a lost precious pendant</t>
  </si>
  <si>
    <t>is looking for a lost precious ring</t>
  </si>
  <si>
    <t>is looking for a lost precious robe.</t>
  </si>
  <si>
    <t>is looking for a lost precious trinket</t>
  </si>
  <si>
    <t>is looking for a lost precious bracelet</t>
  </si>
  <si>
    <t>is looking for a lost precious amulet</t>
  </si>
  <si>
    <t>is looking for a lost precious tiara</t>
  </si>
  <si>
    <t>is looking for a lost precious gem</t>
  </si>
  <si>
    <t>is looking for a lost precious coin.</t>
  </si>
  <si>
    <t>is looking for a lost precious dagger</t>
  </si>
  <si>
    <t>is looking for a lost precious short sword</t>
  </si>
  <si>
    <t>is looking for a lost precious light crossbow</t>
  </si>
  <si>
    <t>is looking for a lost precious shortbow</t>
  </si>
  <si>
    <t>is looking for a lost precious sling</t>
  </si>
  <si>
    <t>is looking for a lost precious club.</t>
  </si>
  <si>
    <t>is looking for a lost precious javelin.</t>
  </si>
  <si>
    <t>is looking for a lost precious warhammer.</t>
  </si>
  <si>
    <t>is looking for a lost precious mace.</t>
  </si>
  <si>
    <t>is looking for a lost precious quarterstaff.</t>
  </si>
  <si>
    <t>is looking for a lost precious spear.</t>
  </si>
  <si>
    <t>is looking for a lost precious battleaxe.</t>
  </si>
  <si>
    <t>is looking for a lost precious flail.</t>
  </si>
  <si>
    <t>is looking for a lost precious great axe.</t>
  </si>
  <si>
    <t>is looking for a lost precious lance</t>
  </si>
  <si>
    <t>is looking for a lost precious long sword.</t>
  </si>
  <si>
    <t>is looking for a lost precious maul.</t>
  </si>
  <si>
    <t>is looking for a lost precious morningstar.</t>
  </si>
  <si>
    <t>is looking for a lost precious pike.</t>
  </si>
  <si>
    <t>is looking for a lost precious trident.</t>
  </si>
  <si>
    <t>is looking for a lost precious rapier.</t>
  </si>
  <si>
    <t>is looking for a lost precious scimitar.</t>
  </si>
  <si>
    <t>is looking for a lost precious whip.</t>
  </si>
  <si>
    <t>is looking for a lost precious blowgun.</t>
  </si>
  <si>
    <t>is looking for a lost precious crossbow</t>
  </si>
  <si>
    <t>is looking for a lost precious net.</t>
  </si>
  <si>
    <t>is looking for a lost precious longbow.</t>
  </si>
  <si>
    <t>needs help stealing a precious pendant from a nearby house.</t>
  </si>
  <si>
    <t>needs help stealing a precious ring from a nearby house.</t>
  </si>
  <si>
    <t>needs help stealing a precious robe from a nearby house.</t>
  </si>
  <si>
    <t>needs help stealing a precious trinket from a nearby house.</t>
  </si>
  <si>
    <t>needs help stealing a precious bracelet from a nearby house.</t>
  </si>
  <si>
    <t>needs help stealing a precious amulet from a nearby house.</t>
  </si>
  <si>
    <t>needs help stealing a precious tiara from a nearby house.</t>
  </si>
  <si>
    <t>needs help stealing a precious gem from a nearby house.</t>
  </si>
  <si>
    <t>needs help stealing a precious coin from a nearby house.</t>
  </si>
  <si>
    <t>needs help stealing a precious dagger from a nearby house.</t>
  </si>
  <si>
    <t>needs help stealing a precious short sword from a nearby house.</t>
  </si>
  <si>
    <t>needs help stealing a precious light crossbow from a nearby house.</t>
  </si>
  <si>
    <t>needs help stealing a precious shortbow from a nearby house.</t>
  </si>
  <si>
    <t>needs help stealing a precious sling from a nearby house.</t>
  </si>
  <si>
    <t>needs help stealing a precious club from a nearby house.</t>
  </si>
  <si>
    <t>needs help stealing a precious javelin from a nearby house.</t>
  </si>
  <si>
    <t>needs help stealing a precious warhammer from a nearby house.</t>
  </si>
  <si>
    <t>needs help stealing a precious mace from a nearby house.</t>
  </si>
  <si>
    <t>needs help stealing a precious quarterstaff from a nearby house.</t>
  </si>
  <si>
    <t>needs help stealing a precious spear from a nearby house.</t>
  </si>
  <si>
    <t>needs help stealing a precious battleaxe from a nearby house.</t>
  </si>
  <si>
    <t>needs help stealing a precious flail from a nearby house.</t>
  </si>
  <si>
    <t>needs help stealing a precious great axe from a nearby house.</t>
  </si>
  <si>
    <t>needs help stealing a precious lance from a nearby house.</t>
  </si>
  <si>
    <t>needs help stealing a precious long sword from a nearby house.</t>
  </si>
  <si>
    <t>needs help stealing a precious maul from a nearby house.</t>
  </si>
  <si>
    <t>needs help stealing a precious morningstar from a nearby house.</t>
  </si>
  <si>
    <t>needs help stealing a precious pike from a nearby house.</t>
  </si>
  <si>
    <t>needs help stealing a precious trident from a nearby house.</t>
  </si>
  <si>
    <t>needs help stealing a precious rapier from a nearby house.</t>
  </si>
  <si>
    <t>needs help stealing a precious scimitar from a nearby house.</t>
  </si>
  <si>
    <t>needs help stealing a precious whip from a nearby house.</t>
  </si>
  <si>
    <t>needs help stealing a precious blowgun from a nearby house.</t>
  </si>
  <si>
    <t>needs help stealing a precious crossbow from a nearby house.</t>
  </si>
  <si>
    <t>needs help stealing a precious net from a nearby house.</t>
  </si>
  <si>
    <t>needs help stealing a precious longbow from a nearby house.</t>
  </si>
  <si>
    <t>needs help stealing a precious pendant from a nearby merchant.</t>
  </si>
  <si>
    <t>needs help stealing a precious ring from a nearby merchant.</t>
  </si>
  <si>
    <t>needs help stealing a precious robe from a nearby merchant.</t>
  </si>
  <si>
    <t>needs help stealing a precious trinket from a nearby merchant.</t>
  </si>
  <si>
    <t>needs help stealing a precious bracelet from a nearby merchant.</t>
  </si>
  <si>
    <t>needs help stealing a precious amulet from a nearby merchant.</t>
  </si>
  <si>
    <t>needs help stealing a precious tiara from a nearby merchant.</t>
  </si>
  <si>
    <t>needs help stealing a precious gem from a nearby merchant.</t>
  </si>
  <si>
    <t>needs help stealing a precious coin from a nearby merchant.</t>
  </si>
  <si>
    <t>needs help stealing a precious dagger from a nearby merchant.</t>
  </si>
  <si>
    <t>needs help stealing a precious short sword from a nearby merchant.</t>
  </si>
  <si>
    <t>needs help stealing a precious light crossbow from a nearby merchant.</t>
  </si>
  <si>
    <t>needs help stealing a precious shortbow from a nearby merchant.</t>
  </si>
  <si>
    <t>needs help stealing a precious sling from a nearby merchant.</t>
  </si>
  <si>
    <t>needs help stealing a precious club from a nearby merchant.</t>
  </si>
  <si>
    <t>needs help stealing a precious javelin from a nearby merchant.</t>
  </si>
  <si>
    <t>needs help stealing a precious warhammer from a nearby merchant.</t>
  </si>
  <si>
    <t>needs help stealing a precious mace from a nearby merchant.</t>
  </si>
  <si>
    <t>needs help stealing a precious quarterstaff from a nearby merchant.</t>
  </si>
  <si>
    <t>needs help stealing a precious spear from a nearby merchant.</t>
  </si>
  <si>
    <t>needs help stealing a precious battleaxe from a nearby merchant.</t>
  </si>
  <si>
    <t>needs help stealing a precious flail from a nearby merchant.</t>
  </si>
  <si>
    <t>needs help stealing a precious great axe from a nearby merchant.</t>
  </si>
  <si>
    <t>needs help stealing a precious lance from a nearby merchant.</t>
  </si>
  <si>
    <t>needs help stealing a precious long sword from a nearby merchant.</t>
  </si>
  <si>
    <t>needs help stealing a precious maul from a nearby merchant.</t>
  </si>
  <si>
    <t>needs help stealing a precious morningstar from a nearby merchant.</t>
  </si>
  <si>
    <t>needs help stealing a precious pike from a nearby merchant.</t>
  </si>
  <si>
    <t>needs help stealing a precious trident from a nearby merchant.</t>
  </si>
  <si>
    <t>needs help stealing a precious rapier from a nearby merchant.</t>
  </si>
  <si>
    <t>needs help stealing a precious scimitar from a nearby merchant.</t>
  </si>
  <si>
    <t>needs help stealing a precious whip from a nearby merchant.</t>
  </si>
  <si>
    <t>needs help stealing a precious blowgun from a nearby merchant.</t>
  </si>
  <si>
    <t>needs help stealing a precious crossbow from a nearby merchant.</t>
  </si>
  <si>
    <t>needs help stealing a precious net from a nearby merchant.</t>
  </si>
  <si>
    <t>needs help stealing a precious longbow from a nearby merchant.</t>
  </si>
  <si>
    <t>needs help stealing a precious pendant from a nearby castle.</t>
  </si>
  <si>
    <t>needs help stealing a precious ring from a nearby castle.</t>
  </si>
  <si>
    <t>needs help stealing a precious robe from a nearby castle.</t>
  </si>
  <si>
    <t>needs help stealing a precious trinket from a nearby castle.</t>
  </si>
  <si>
    <t>needs help stealing a precious bracelet from a nearby castle.</t>
  </si>
  <si>
    <t>needs help stealing a precious amulet from a nearby castle.</t>
  </si>
  <si>
    <t>needs help stealing a precious tiara from a nearby castle.</t>
  </si>
  <si>
    <t>needs help stealing a precious gem from a nearby castle.</t>
  </si>
  <si>
    <t>needs help stealing a precious coin from a nearby castle.</t>
  </si>
  <si>
    <t>needs help stealing a precious dagger from a nearby castle.</t>
  </si>
  <si>
    <t>needs help stealing a precious short sword from a nearby castle.</t>
  </si>
  <si>
    <t>needs help stealing a precious light crossbow from a nearby castle.</t>
  </si>
  <si>
    <t>needs help stealing a precious shortbow from a nearby castle.</t>
  </si>
  <si>
    <t>needs help stealing a precious sling from a nearby castle.</t>
  </si>
  <si>
    <t>needs help stealing a precious club from a nearby castle.</t>
  </si>
  <si>
    <t>needs help stealing a precious javelin from a nearby castle.</t>
  </si>
  <si>
    <t>needs help stealing a precious warhammer from a nearby castle.</t>
  </si>
  <si>
    <t>needs help stealing a precious mace from a nearby castle.</t>
  </si>
  <si>
    <t>needs help stealing a precious quarterstaff from a nearby castle.</t>
  </si>
  <si>
    <t>needs help stealing a precious spear from a nearby castle.</t>
  </si>
  <si>
    <t>needs help stealing a precious battleaxe from a nearby castle.</t>
  </si>
  <si>
    <t>needs help stealing a precious flail from a nearby castle.</t>
  </si>
  <si>
    <t>needs help stealing a precious great axe from a nearby castle.</t>
  </si>
  <si>
    <t>needs help stealing a precious lance from a nearby castle.</t>
  </si>
  <si>
    <t>needs help stealing a precious long sword from a nearby castle.</t>
  </si>
  <si>
    <t>needs help stealing a precious maul from a nearby castle.</t>
  </si>
  <si>
    <t>needs help stealing a precious morningstar from a nearby castle.</t>
  </si>
  <si>
    <t>needs help stealing a precious pike from a nearby castle.</t>
  </si>
  <si>
    <t>needs help stealing a precious trident from a nearby castle.</t>
  </si>
  <si>
    <t>needs help stealing a precious rapier from a nearby castle.</t>
  </si>
  <si>
    <t>needs help stealing a precious scimitar from a nearby castle.</t>
  </si>
  <si>
    <t>needs help stealing a precious whip from a nearby castle.</t>
  </si>
  <si>
    <t>needs help stealing a precious blowgun from a nearby castle.</t>
  </si>
  <si>
    <t>needs help stealing a precious crossbow from a nearby castle.</t>
  </si>
  <si>
    <t>needs help stealing a precious net from a nearby castle.</t>
  </si>
  <si>
    <t>needs help stealing a precious longbow from a nearby castle.</t>
  </si>
  <si>
    <t>seeks revenge for the death of brother.</t>
  </si>
  <si>
    <t>seeks revenge for the death of sister.</t>
  </si>
  <si>
    <t>seeks revenge for the death of parent.</t>
  </si>
  <si>
    <t>seeks revenge for the death of son.</t>
  </si>
  <si>
    <t>seeks revenge for the death of daughter.</t>
  </si>
  <si>
    <t>seeks revenge for the death of partner.</t>
  </si>
  <si>
    <t>seeks revenge for the death of cousin.</t>
  </si>
  <si>
    <t>needs help fighting a rebellious organization who wants to take control of the governement.</t>
  </si>
  <si>
    <t>needs help fighting a rebellious organization who wants to take control of the clergy.</t>
  </si>
  <si>
    <t>is part of a secret rebellious organization who wants to take control of the government.</t>
  </si>
  <si>
    <t>is part of a secret rebellious organization who wants to take control of the clergy.</t>
  </si>
  <si>
    <t>is obsessed with a nearby cavern with amazing waterfalls.</t>
  </si>
  <si>
    <t>is obsessed with a nearby cliff with an eerily beautiful view.</t>
  </si>
  <si>
    <t>is obsessed with a nearby grove with extraordinary flowers.</t>
  </si>
  <si>
    <t>is obsessed with a nearby valley with luxurious vegetation.</t>
  </si>
  <si>
    <t>is obsessed with a nearby tavern with absolutely incredible ale.</t>
  </si>
  <si>
    <t>needs the party to deliver a precious pendant to a brother.</t>
  </si>
  <si>
    <t>needs the party to deliver a precious ring to a brother.</t>
  </si>
  <si>
    <t>needs the party to deliver a precious robe to a brother.</t>
  </si>
  <si>
    <t>needs the party to deliver a precious trinket to a brother.</t>
  </si>
  <si>
    <t>needs the party to deliver a precious bracelet to a brother.</t>
  </si>
  <si>
    <t>needs the party to deliver a precious amulet to a brother.</t>
  </si>
  <si>
    <t>needs the party to deliver a precious tiara to a brother.</t>
  </si>
  <si>
    <t>needs the party to deliver a precious gem to a brother.</t>
  </si>
  <si>
    <t>needs the party to deliver a precious coin to a brother.</t>
  </si>
  <si>
    <t>needs the party to deliver a precious dagger to a brother.</t>
  </si>
  <si>
    <t>needs the party to deliver a precious short sword to a brother.</t>
  </si>
  <si>
    <t>needs the party to deliver a precious light crossbow to a brother.</t>
  </si>
  <si>
    <t>needs the party to deliver a precious shortbow to a brother.</t>
  </si>
  <si>
    <t>needs the party to deliver a precious sling to a brother.</t>
  </si>
  <si>
    <t>needs the party to deliver a precious club to a brother.</t>
  </si>
  <si>
    <t>needs the party to deliver a precious javelin to a brother.</t>
  </si>
  <si>
    <t>needs the party to deliver a precious warhammer to a brother.</t>
  </si>
  <si>
    <t>needs the party to deliver a precious mace to a brother.</t>
  </si>
  <si>
    <t>needs the party to deliver a precious quarterstaff to a brother.</t>
  </si>
  <si>
    <t>needs the party to deliver a precious spear to a brother.</t>
  </si>
  <si>
    <t>needs the party to deliver a precious battleaxe to a brother.</t>
  </si>
  <si>
    <t>needs the party to deliver a precious flail to a brother.</t>
  </si>
  <si>
    <t>needs the party to deliver a precious great axe to a brother.</t>
  </si>
  <si>
    <t>needs the party to deliver a precious lance to a brother.</t>
  </si>
  <si>
    <t>needs the party to deliver a precious long sword to a brother.</t>
  </si>
  <si>
    <t>needs the party to deliver a precious maul to a brother.</t>
  </si>
  <si>
    <t>needs the party to deliver a precious morningstar to a brother.</t>
  </si>
  <si>
    <t>needs the party to deliver a precious pike to a brother.</t>
  </si>
  <si>
    <t>needs the party to deliver a precious trident to a brother.</t>
  </si>
  <si>
    <t>needs the party to deliver a precious rapier to a brother.</t>
  </si>
  <si>
    <t>needs the party to deliver a precious scimitar to a brother.</t>
  </si>
  <si>
    <t>needs the party to deliver a precious whip to a brother.</t>
  </si>
  <si>
    <t>needs the party to deliver a precious blowgun to a brother.</t>
  </si>
  <si>
    <t>needs the party to deliver a precious crossbow to a brother.</t>
  </si>
  <si>
    <t>needs the party to deliver a precious net to a brother.</t>
  </si>
  <si>
    <t>needs the party to deliver a precious longbow to a brother.</t>
  </si>
  <si>
    <t>needs the party to deliver a precious pendant to a sister.</t>
  </si>
  <si>
    <t>needs the party to deliver a precious ring to a sister.</t>
  </si>
  <si>
    <t>needs the party to deliver a precious robe to a sister.</t>
  </si>
  <si>
    <t>needs the party to deliver a precious trinket to a sister.</t>
  </si>
  <si>
    <t>needs the party to deliver a precious bracelet to a sister.</t>
  </si>
  <si>
    <t>needs the party to deliver a precious amulet to a sister.</t>
  </si>
  <si>
    <t>needs the party to deliver a precious tiara to a sister.</t>
  </si>
  <si>
    <t>needs the party to deliver a precious gem to a sister.</t>
  </si>
  <si>
    <t>needs the party to deliver a precious coin to a sister.</t>
  </si>
  <si>
    <t>needs the party to deliver a precious dagger to a sister.</t>
  </si>
  <si>
    <t>needs the party to deliver a precious short sword to a sister.</t>
  </si>
  <si>
    <t>needs the party to deliver a precious light crossbow to a sister.</t>
  </si>
  <si>
    <t>needs the party to deliver a precious shortbow to a sister.</t>
  </si>
  <si>
    <t>needs the party to deliver a precious sling to a sister.</t>
  </si>
  <si>
    <t>needs the party to deliver a precious club to a sister.</t>
  </si>
  <si>
    <t>needs the party to deliver a precious javelin to a sister.</t>
  </si>
  <si>
    <t>needs the party to deliver a precious warhammer to a sister.</t>
  </si>
  <si>
    <t>needs the party to deliver a precious mace to a sister.</t>
  </si>
  <si>
    <t>needs the party to deliver a precious quarterstaff to a sister.</t>
  </si>
  <si>
    <t>needs the party to deliver a precious spear to a sister.</t>
  </si>
  <si>
    <t>needs the party to deliver a precious battleaxe to a sister.</t>
  </si>
  <si>
    <t>needs the party to deliver a precious flail to a sister.</t>
  </si>
  <si>
    <t>needs the party to deliver a precious great axe to a sister.</t>
  </si>
  <si>
    <t>needs the party to deliver a precious lance to a sister.</t>
  </si>
  <si>
    <t>needs the party to deliver a precious long sword to a sister.</t>
  </si>
  <si>
    <t>needs the party to deliver a precious maul to a sister.</t>
  </si>
  <si>
    <t>needs the party to deliver a precious morningstar to a sister.</t>
  </si>
  <si>
    <t>needs the party to deliver a precious pike to a sister.</t>
  </si>
  <si>
    <t>needs the party to deliver a precious trident to a sister.</t>
  </si>
  <si>
    <t>needs the party to deliver a precious rapier to a sister.</t>
  </si>
  <si>
    <t>needs the party to deliver a precious scimitar to a sister.</t>
  </si>
  <si>
    <t>needs the party to deliver a precious whip to a sister.</t>
  </si>
  <si>
    <t>needs the party to deliver a precious blowgun to a sister.</t>
  </si>
  <si>
    <t>needs the party to deliver a precious crossbow to a sister.</t>
  </si>
  <si>
    <t>needs the party to deliver a precious net to a sister.</t>
  </si>
  <si>
    <t>needs the party to deliver a precious longbow to a sister.</t>
  </si>
  <si>
    <t>needs the party to deliver a precious pendant to a parent.</t>
  </si>
  <si>
    <t>needs the party to deliver a precious ring to a parent.</t>
  </si>
  <si>
    <t>needs the party to deliver a precious robe to a parent.</t>
  </si>
  <si>
    <t>needs the party to deliver a precious trinket to a parent.</t>
  </si>
  <si>
    <t>needs the party to deliver a precious bracelet to a parent.</t>
  </si>
  <si>
    <t>needs the party to deliver a precious amulet to a parent.</t>
  </si>
  <si>
    <t>needs the party to deliver a precious tiara to a parent.</t>
  </si>
  <si>
    <t>needs the party to deliver a precious gem to a parent.</t>
  </si>
  <si>
    <t>needs the party to deliver a precious coin to a parent.</t>
  </si>
  <si>
    <t>needs the party to deliver a precious dagger to a parent.</t>
  </si>
  <si>
    <t>needs the party to deliver a precious short sword to a parent.</t>
  </si>
  <si>
    <t>needs the party to deliver a precious light crossbow to a parent.</t>
  </si>
  <si>
    <t>needs the party to deliver a precious shortbow to a parent.</t>
  </si>
  <si>
    <t>needs the party to deliver a precious sling to a parent.</t>
  </si>
  <si>
    <t>needs the party to deliver a precious club to a parent.</t>
  </si>
  <si>
    <t>needs the party to deliver a precious javelin to a parent.</t>
  </si>
  <si>
    <t>needs the party to deliver a precious warhammer to a parent.</t>
  </si>
  <si>
    <t>needs the party to deliver a precious mace to a parent.</t>
  </si>
  <si>
    <t>needs the party to deliver a precious quarterstaff to a parent.</t>
  </si>
  <si>
    <t>needs the party to deliver a precious spear to a parent.</t>
  </si>
  <si>
    <t>needs the party to deliver a precious battleaxe to a parent.</t>
  </si>
  <si>
    <t>needs the party to deliver a precious flail to a parent.</t>
  </si>
  <si>
    <t>needs the party to deliver a precious great axe to a parent.</t>
  </si>
  <si>
    <t>needs the party to deliver a precious lance to a parent.</t>
  </si>
  <si>
    <t>needs the party to deliver a precious long sword to a parent.</t>
  </si>
  <si>
    <t>needs the party to deliver a precious maul to a parent.</t>
  </si>
  <si>
    <t>needs the party to deliver a precious morningstar to a parent.</t>
  </si>
  <si>
    <t>needs the party to deliver a precious pike to a parent.</t>
  </si>
  <si>
    <t>needs the party to deliver a precious trident to a parent.</t>
  </si>
  <si>
    <t>needs the party to deliver a precious rapier to a parent.</t>
  </si>
  <si>
    <t>needs the party to deliver a precious scimitar to a parent.</t>
  </si>
  <si>
    <t>needs the party to deliver a precious whip to a parent.</t>
  </si>
  <si>
    <t>needs the party to deliver a precious blowgun to a parent.</t>
  </si>
  <si>
    <t>needs the party to deliver a precious crossbow to a parent.</t>
  </si>
  <si>
    <t>needs the party to deliver a precious net to a parent.</t>
  </si>
  <si>
    <t>needs the party to deliver a precious longbow to a parent.</t>
  </si>
  <si>
    <t>needs the party to deliver a precious pendant to a son.</t>
  </si>
  <si>
    <t>needs the party to deliver a precious ring to a son.</t>
  </si>
  <si>
    <t>needs the party to deliver a precious robe to a son.</t>
  </si>
  <si>
    <t>needs the party to deliver a precious trinket to a son.</t>
  </si>
  <si>
    <t>needs the party to deliver a precious bracelet to a son.</t>
  </si>
  <si>
    <t>needs the party to deliver a precious amulet to a son.</t>
  </si>
  <si>
    <t>needs the party to deliver a precious tiara to a son.</t>
  </si>
  <si>
    <t>needs the party to deliver a precious gem to a son.</t>
  </si>
  <si>
    <t>needs the party to deliver a precious coin to a son.</t>
  </si>
  <si>
    <t>needs the party to deliver a precious dagger to a son.</t>
  </si>
  <si>
    <t>needs the party to deliver a precious short sword to a son.</t>
  </si>
  <si>
    <t>needs the party to deliver a precious light crossbow to a son.</t>
  </si>
  <si>
    <t>needs the party to deliver a precious shortbow to a son.</t>
  </si>
  <si>
    <t>needs the party to deliver a precious sling to a son.</t>
  </si>
  <si>
    <t>needs the party to deliver a precious club to a son.</t>
  </si>
  <si>
    <t>needs the party to deliver a precious javelin to a son.</t>
  </si>
  <si>
    <t>needs the party to deliver a precious warhammer to a son.</t>
  </si>
  <si>
    <t>needs the party to deliver a precious mace to a son.</t>
  </si>
  <si>
    <t>needs the party to deliver a precious quarterstaff to a son.</t>
  </si>
  <si>
    <t>needs the party to deliver a precious spear to a son.</t>
  </si>
  <si>
    <t>needs the party to deliver a precious battleaxe to a son.</t>
  </si>
  <si>
    <t>needs the party to deliver a precious flail to a son.</t>
  </si>
  <si>
    <t>needs the party to deliver a precious great axe to a son.</t>
  </si>
  <si>
    <t>needs the party to deliver a precious lance to a son.</t>
  </si>
  <si>
    <t>needs the party to deliver a precious long sword to a son.</t>
  </si>
  <si>
    <t>needs the party to deliver a precious maul to a son.</t>
  </si>
  <si>
    <t>needs the party to deliver a precious morningstar to a son.</t>
  </si>
  <si>
    <t>needs the party to deliver a precious pike to a son.</t>
  </si>
  <si>
    <t>needs the party to deliver a precious trident to a son.</t>
  </si>
  <si>
    <t>needs the party to deliver a precious rapier to a son.</t>
  </si>
  <si>
    <t>needs the party to deliver a precious scimitar to a son.</t>
  </si>
  <si>
    <t>needs the party to deliver a precious whip to a son.</t>
  </si>
  <si>
    <t>needs the party to deliver a precious blowgun to a son.</t>
  </si>
  <si>
    <t>needs the party to deliver a precious crossbow to a son.</t>
  </si>
  <si>
    <t>needs the party to deliver a precious net to a son.</t>
  </si>
  <si>
    <t>needs the party to deliver a precious longbow to a son.</t>
  </si>
  <si>
    <t>needs the party to deliver a precious pendant to a daughter.</t>
  </si>
  <si>
    <t>needs the party to deliver a precious ring to a daughter.</t>
  </si>
  <si>
    <t>needs the party to deliver a precious robe to a daughter.</t>
  </si>
  <si>
    <t>needs the party to deliver a precious trinket to a daughter.</t>
  </si>
  <si>
    <t>needs the party to deliver a precious bracelet to a daughter.</t>
  </si>
  <si>
    <t>needs the party to deliver a precious amulet to a daughter.</t>
  </si>
  <si>
    <t>needs the party to deliver a precious tiara to a daughter.</t>
  </si>
  <si>
    <t>needs the party to deliver a precious gem to a daughter.</t>
  </si>
  <si>
    <t>needs the party to deliver a precious coin to a daughter.</t>
  </si>
  <si>
    <t>needs the party to deliver a precious dagger to a daughter.</t>
  </si>
  <si>
    <t>needs the party to deliver a precious short sword to a daughter.</t>
  </si>
  <si>
    <t>needs the party to deliver a precious light crossbow to a daughter.</t>
  </si>
  <si>
    <t>needs the party to deliver a precious shortbow to a daughter.</t>
  </si>
  <si>
    <t>needs the party to deliver a precious sling to a daughter.</t>
  </si>
  <si>
    <t>needs the party to deliver a precious club to a daughter.</t>
  </si>
  <si>
    <t>needs the party to deliver a precious javelin to a daughter.</t>
  </si>
  <si>
    <t>needs the party to deliver a precious warhammer to a daughter.</t>
  </si>
  <si>
    <t>needs the party to deliver a precious mace to a daughter.</t>
  </si>
  <si>
    <t>needs the party to deliver a precious quarterstaff to a daughter.</t>
  </si>
  <si>
    <t>needs the party to deliver a precious spear to a daughter.</t>
  </si>
  <si>
    <t>needs the party to deliver a precious battleaxe to a daughter.</t>
  </si>
  <si>
    <t>needs the party to deliver a precious flail to a daughter.</t>
  </si>
  <si>
    <t>needs the party to deliver a precious great axe to a daughter.</t>
  </si>
  <si>
    <t>needs the party to deliver a precious lance to a daughter.</t>
  </si>
  <si>
    <t>needs the party to deliver a precious long sword to a daughter.</t>
  </si>
  <si>
    <t>needs the party to deliver a precious maul to a daughter.</t>
  </si>
  <si>
    <t>needs the party to deliver a precious morningstar to a daughter.</t>
  </si>
  <si>
    <t>needs the party to deliver a precious pike to a daughter.</t>
  </si>
  <si>
    <t>needs the party to deliver a precious trident to a daughter.</t>
  </si>
  <si>
    <t>needs the party to deliver a precious rapier to a daughter.</t>
  </si>
  <si>
    <t>needs the party to deliver a precious scimitar to a daughter.</t>
  </si>
  <si>
    <t>needs the party to deliver a precious whip to a daughter.</t>
  </si>
  <si>
    <t>needs the party to deliver a precious blowgun to a daughter.</t>
  </si>
  <si>
    <t>needs the party to deliver a precious crossbow to a daughter.</t>
  </si>
  <si>
    <t>needs the party to deliver a precious net to a daughter.</t>
  </si>
  <si>
    <t>needs the party to deliver a precious longbow to a daughter.</t>
  </si>
  <si>
    <t>needs the party to deliver a precious pendant to a partner.</t>
  </si>
  <si>
    <t>needs the party to deliver a precious ring to a partner.</t>
  </si>
  <si>
    <t>needs the party to deliver a precious robe to a partner.</t>
  </si>
  <si>
    <t>needs the party to deliver a precious trinket to a partner.</t>
  </si>
  <si>
    <t>needs the party to deliver a precious bracelet to a partner.</t>
  </si>
  <si>
    <t>needs the party to deliver a precious amulet to a partner.</t>
  </si>
  <si>
    <t>needs the party to deliver a precious tiara to a partner.</t>
  </si>
  <si>
    <t>needs the party to deliver a precious gem to a partner.</t>
  </si>
  <si>
    <t>needs the party to deliver a precious coin to a partner.</t>
  </si>
  <si>
    <t>needs the party to deliver a precious dagger to a partner.</t>
  </si>
  <si>
    <t>needs the party to deliver a precious short sword to a partner.</t>
  </si>
  <si>
    <t>needs the party to deliver a precious light crossbow to a partner.</t>
  </si>
  <si>
    <t>needs the party to deliver a precious shortbow to a partner.</t>
  </si>
  <si>
    <t>needs the party to deliver a precious sling to a partner.</t>
  </si>
  <si>
    <t>needs the party to deliver a precious club to a partner.</t>
  </si>
  <si>
    <t>needs the party to deliver a precious javelin to a partner.</t>
  </si>
  <si>
    <t>needs the party to deliver a precious warhammer to a partner.</t>
  </si>
  <si>
    <t>needs the party to deliver a precious mace to a partner.</t>
  </si>
  <si>
    <t>needs the party to deliver a precious quarterstaff to a partner.</t>
  </si>
  <si>
    <t>needs the party to deliver a precious spear to a partner.</t>
  </si>
  <si>
    <t>needs the party to deliver a precious battleaxe to a partner.</t>
  </si>
  <si>
    <t>needs the party to deliver a precious flail to a partner.</t>
  </si>
  <si>
    <t>needs the party to deliver a precious great axe to a partner.</t>
  </si>
  <si>
    <t>needs the party to deliver a precious lance to a partner.</t>
  </si>
  <si>
    <t>needs the party to deliver a precious long sword to a partner.</t>
  </si>
  <si>
    <t>needs the party to deliver a precious maul to a partner.</t>
  </si>
  <si>
    <t>needs the party to deliver a precious morningstar to a partner.</t>
  </si>
  <si>
    <t>needs the party to deliver a precious pike to a partner.</t>
  </si>
  <si>
    <t>needs the party to deliver a precious trident to a partner.</t>
  </si>
  <si>
    <t>needs the party to deliver a precious rapier to a partner.</t>
  </si>
  <si>
    <t>needs the party to deliver a precious scimitar to a partner.</t>
  </si>
  <si>
    <t>needs the party to deliver a precious whip to a partner.</t>
  </si>
  <si>
    <t>needs the party to deliver a precious blowgun to a partner.</t>
  </si>
  <si>
    <t>needs the party to deliver a precious crossbow to a partner.</t>
  </si>
  <si>
    <t>needs the party to deliver a precious net to a partner.</t>
  </si>
  <si>
    <t>needs the party to deliver a precious longbow to a partner.</t>
  </si>
  <si>
    <t>needs the party to deliver a precious pendant to a wizards' guild.</t>
  </si>
  <si>
    <t>needs the party to deliver a precious ring to a wizards' guild.</t>
  </si>
  <si>
    <t>needs the party to deliver a precious robe to a wizards' guild.</t>
  </si>
  <si>
    <t>needs the party to deliver a precious trinket to a wizards' guild.</t>
  </si>
  <si>
    <t>needs the party to deliver a precious bracelet to a wizards' guild.</t>
  </si>
  <si>
    <t>needs the party to deliver a precious amulet to a wizards' guild.</t>
  </si>
  <si>
    <t>needs the party to deliver a precious tiara to a wizards' guild.</t>
  </si>
  <si>
    <t>needs the party to deliver a precious gem to a wizards' guild.</t>
  </si>
  <si>
    <t>needs the party to deliver a precious coin to a wizards' guild.</t>
  </si>
  <si>
    <t>needs the party to deliver a precious dagger to a wizards' guild.</t>
  </si>
  <si>
    <t>needs the party to deliver a precious short sword to a wizards' guild.</t>
  </si>
  <si>
    <t>needs the party to deliver a precious light crossbow to a wizards' guild.</t>
  </si>
  <si>
    <t>needs the party to deliver a precious shortbow to a wizards' guild.</t>
  </si>
  <si>
    <t>needs the party to deliver a precious sling to a wizards' guild.</t>
  </si>
  <si>
    <t>needs the party to deliver a precious club to a wizards' guild.</t>
  </si>
  <si>
    <t>needs the party to deliver a precious javelin to a wizards' guild.</t>
  </si>
  <si>
    <t>needs the party to deliver a precious warhammer to a wizards' guild.</t>
  </si>
  <si>
    <t>needs the party to deliver a precious mace to a wizards' guild.</t>
  </si>
  <si>
    <t>needs the party to deliver a precious quarterstaff to a wizards' guild.</t>
  </si>
  <si>
    <t>needs the party to deliver a precious spear to a wizards' guild.</t>
  </si>
  <si>
    <t>needs the party to deliver a precious battleaxe to a wizards' guild.</t>
  </si>
  <si>
    <t>needs the party to deliver a precious flail to a wizards' guild.</t>
  </si>
  <si>
    <t>needs the party to deliver a precious great axe to a wizards' guild.</t>
  </si>
  <si>
    <t>needs the party to deliver a precious lance to a wizards' guild.</t>
  </si>
  <si>
    <t>needs the party to deliver a precious long sword to a wizards' guild.</t>
  </si>
  <si>
    <t>needs the party to deliver a precious maul to a wizards' guild.</t>
  </si>
  <si>
    <t>needs the party to deliver a precious morningstar to a wizards' guild.</t>
  </si>
  <si>
    <t>needs the party to deliver a precious pike to a wizards' guild.</t>
  </si>
  <si>
    <t>needs the party to deliver a precious trident to a wizards' guild.</t>
  </si>
  <si>
    <t>needs the party to deliver a precious rapier to a wizards' guild.</t>
  </si>
  <si>
    <t>needs the party to deliver a precious scimitar to a wizards' guild.</t>
  </si>
  <si>
    <t>needs the party to deliver a precious whip to a wizards' guild.</t>
  </si>
  <si>
    <t>needs the party to deliver a precious blowgun to a wizards' guild.</t>
  </si>
  <si>
    <t>needs the party to deliver a precious crossbow to a wizards' guild.</t>
  </si>
  <si>
    <t>needs the party to deliver a precious net to a wizards' guild.</t>
  </si>
  <si>
    <t>needs the party to deliver a precious longbow to a wizards' guild.</t>
  </si>
  <si>
    <t>needs the party to deliver a precious pendant to a theif's guild.</t>
  </si>
  <si>
    <t>needs the party to deliver a precious ring to a theif's guild.</t>
  </si>
  <si>
    <t>needs the party to deliver a precious robe to a theif's guild.</t>
  </si>
  <si>
    <t>needs the party to deliver a precious trinket to a theif's guild.</t>
  </si>
  <si>
    <t>needs the party to deliver a precious bracelet to a theif's guild.</t>
  </si>
  <si>
    <t>needs the party to deliver a precious amulet to a theif's guild.</t>
  </si>
  <si>
    <t>needs the party to deliver a precious tiara to a theif's guild.</t>
  </si>
  <si>
    <t>needs the party to deliver a precious gem to a theif's guild.</t>
  </si>
  <si>
    <t>needs the party to deliver a precious coin to a theif's guild.</t>
  </si>
  <si>
    <t>needs the party to deliver a precious dagger to a theif's guild.</t>
  </si>
  <si>
    <t>needs the party to deliver a precious short sword to a theif's guild.</t>
  </si>
  <si>
    <t>needs the party to deliver a precious light crossbow to a theif's guild.</t>
  </si>
  <si>
    <t>needs the party to deliver a precious shortbow to a theif's guild.</t>
  </si>
  <si>
    <t>needs the party to deliver a precious sling to a theif's guild.</t>
  </si>
  <si>
    <t>needs the party to deliver a precious club to a theif's guild.</t>
  </si>
  <si>
    <t>needs the party to deliver a precious javelin to a theif's guild.</t>
  </si>
  <si>
    <t>needs the party to deliver a precious warhammer to a theif's guild.</t>
  </si>
  <si>
    <t>needs the party to deliver a precious mace to a theif's guild.</t>
  </si>
  <si>
    <t>needs the party to deliver a precious quarterstaff to a theif's guild.</t>
  </si>
  <si>
    <t>needs the party to deliver a precious spear to a theif's guild.</t>
  </si>
  <si>
    <t>needs the party to deliver a precious battleaxe to a theif's guild.</t>
  </si>
  <si>
    <t>needs the party to deliver a precious flail to a theif's guild.</t>
  </si>
  <si>
    <t>needs the party to deliver a precious great axe to a theif's guild.</t>
  </si>
  <si>
    <t>needs the party to deliver a precious lance to a theif's guild.</t>
  </si>
  <si>
    <t>needs the party to deliver a precious long sword to a theif's guild.</t>
  </si>
  <si>
    <t>needs the party to deliver a precious maul to a theif's guild.</t>
  </si>
  <si>
    <t>needs the party to deliver a precious morningstar to a theif's guild.</t>
  </si>
  <si>
    <t>needs the party to deliver a precious pike to a theif's guild.</t>
  </si>
  <si>
    <t>needs the party to deliver a precious trident to a theif's guild.</t>
  </si>
  <si>
    <t>needs the party to deliver a precious rapier to a theif's guild.</t>
  </si>
  <si>
    <t>needs the party to deliver a precious scimitar to a theif's guild.</t>
  </si>
  <si>
    <t>needs the party to deliver a precious whip to a theif's guild.</t>
  </si>
  <si>
    <t>needs the party to deliver a precious blowgun to a theif's guild.</t>
  </si>
  <si>
    <t>needs the party to deliver a precious crossbow to a theif's guild.</t>
  </si>
  <si>
    <t>needs the party to deliver a precious net to a theif's guild.</t>
  </si>
  <si>
    <t>needs the party to deliver a precious longbow to a theif's guild.</t>
  </si>
  <si>
    <t>needs the party to deliver a precious pendant witchs' cove.</t>
  </si>
  <si>
    <t>needs the party to deliver a precious ring witchs' cove.</t>
  </si>
  <si>
    <t>needs the party to deliver a precious robe witchs' cove.</t>
  </si>
  <si>
    <t>needs the party to deliver a precious trinket witchs' cove.</t>
  </si>
  <si>
    <t>needs the party to deliver a precious bracelet witchs' cove.</t>
  </si>
  <si>
    <t>needs the party to deliver a precious amulet witchs' cove.</t>
  </si>
  <si>
    <t>needs the party to deliver a precious tiara witchs' cove.</t>
  </si>
  <si>
    <t>needs the party to deliver a precious gem witchs' cove.</t>
  </si>
  <si>
    <t>needs the party to deliver a precious coin witchs' cove.</t>
  </si>
  <si>
    <t>needs the party to deliver a precious dagger witchs' cove.</t>
  </si>
  <si>
    <t>needs the party to deliver a precious short sword witchs' cove.</t>
  </si>
  <si>
    <t>needs the party to deliver a precious light crossbow witchs' cove.</t>
  </si>
  <si>
    <t>needs the party to deliver a precious shortbow witchs' cove.</t>
  </si>
  <si>
    <t>needs the party to deliver a precious sling witchs' cove.</t>
  </si>
  <si>
    <t>needs the party to deliver a precious club witchs' cove.</t>
  </si>
  <si>
    <t>needs the party to deliver a precious javelin witchs' cove.</t>
  </si>
  <si>
    <t>needs the party to deliver a precious warhammer witchs' cove.</t>
  </si>
  <si>
    <t>needs the party to deliver a precious mace witchs' cove.</t>
  </si>
  <si>
    <t>needs the party to deliver a precious quarterstaff witchs' cove.</t>
  </si>
  <si>
    <t>needs the party to deliver a precious spear witchs' cove.</t>
  </si>
  <si>
    <t>needs the party to deliver a precious battleaxe witchs' cove.</t>
  </si>
  <si>
    <t>needs the party to deliver a precious flail witchs' cove.</t>
  </si>
  <si>
    <t>needs the party to deliver a precious great axe witchs' cove.</t>
  </si>
  <si>
    <t>needs the party to deliver a precious lance witchs' cove.</t>
  </si>
  <si>
    <t>needs the party to deliver a precious long sword witchs' cove.</t>
  </si>
  <si>
    <t>needs the party to deliver a precious maul witchs' cove.</t>
  </si>
  <si>
    <t>needs the party to deliver a precious morningstar witchs' cove.</t>
  </si>
  <si>
    <t>needs the party to deliver a precious pike witchs' cove.</t>
  </si>
  <si>
    <t>needs the party to deliver a precious trident witchs' cove.</t>
  </si>
  <si>
    <t>needs the party to deliver a precious rapier witchs' cove.</t>
  </si>
  <si>
    <t>needs the party to deliver a precious scimitar witchs' cove.</t>
  </si>
  <si>
    <t>needs the party to deliver a precious whip witchs' cove.</t>
  </si>
  <si>
    <t>needs the party to deliver a precious blowgun witchs' cove.</t>
  </si>
  <si>
    <t>needs the party to deliver a precious crossbow witchs' cove.</t>
  </si>
  <si>
    <t>needs the party to deliver a precious net witchs' cove.</t>
  </si>
  <si>
    <t>needs the party to deliver a precious longbow witchs' cove.</t>
  </si>
  <si>
    <t>needs the party to deliver a precious pendant cult's hideout.</t>
  </si>
  <si>
    <t>needs the party to deliver a precious ring cult's hideout.</t>
  </si>
  <si>
    <t>needs the party to deliver a precious robe cult's hideout.</t>
  </si>
  <si>
    <t>needs the party to deliver a precious trinket cult's hideout.</t>
  </si>
  <si>
    <t>needs the party to deliver a precious bracelet cult's hideout.</t>
  </si>
  <si>
    <t>needs the party to deliver a precious amulet cult's hideout.</t>
  </si>
  <si>
    <t>needs the party to deliver a precious tiara cult's hideout.</t>
  </si>
  <si>
    <t>needs the party to deliver a precious gem cult's hideout.</t>
  </si>
  <si>
    <t>needs the party to deliver a precious coin cult's hideout.</t>
  </si>
  <si>
    <t>needs the party to deliver a precious dagger cult's hideout.</t>
  </si>
  <si>
    <t>needs the party to deliver a precious short sword cult's hideout.</t>
  </si>
  <si>
    <t>needs the party to deliver a precious light crossbow cult's hideout.</t>
  </si>
  <si>
    <t>needs the party to deliver a precious shortbow cult's hideout.</t>
  </si>
  <si>
    <t>needs the party to deliver a precious sling cult's hideout.</t>
  </si>
  <si>
    <t>needs the party to deliver a precious club cult's hideout.</t>
  </si>
  <si>
    <t>needs the party to deliver a precious javelin cult's hideout.</t>
  </si>
  <si>
    <t>needs the party to deliver a precious warhammer cult's hideout.</t>
  </si>
  <si>
    <t>needs the party to deliver a precious mace cult's hideout.</t>
  </si>
  <si>
    <t>needs the party to deliver a precious quarterstaff cult's hideout.</t>
  </si>
  <si>
    <t>needs the party to deliver a precious spear cult's hideout.</t>
  </si>
  <si>
    <t>needs the party to deliver a precious battleaxe cult's hideout.</t>
  </si>
  <si>
    <t>needs the party to deliver a precious flail cult's hideout.</t>
  </si>
  <si>
    <t>needs the party to deliver a precious great axe cult's hideout.</t>
  </si>
  <si>
    <t>needs the party to deliver a precious lance cult's hideout.</t>
  </si>
  <si>
    <t>needs the party to deliver a precious long sword cult's hideout.</t>
  </si>
  <si>
    <t>needs the party to deliver a precious maul cult's hideout.</t>
  </si>
  <si>
    <t>needs the party to deliver a precious morningstar cult's hideout.</t>
  </si>
  <si>
    <t>needs the party to deliver a precious pike cult's hideout.</t>
  </si>
  <si>
    <t>needs the party to deliver a precious trident cult's hideout.</t>
  </si>
  <si>
    <t>needs the party to deliver a precious rapier cult's hideout.</t>
  </si>
  <si>
    <t>needs the party to deliver a precious scimitar cult's hideout.</t>
  </si>
  <si>
    <t>needs the party to deliver a precious whip cult's hideout.</t>
  </si>
  <si>
    <t>needs the party to deliver a precious blowgun cult's hideout.</t>
  </si>
  <si>
    <t>needs the party to deliver a precious crossbow cult's hideout.</t>
  </si>
  <si>
    <t>needs the party to deliver a precious net cult's hideout.</t>
  </si>
  <si>
    <t>needs the party to deliver a precious longbow cult's hideout.</t>
  </si>
  <si>
    <t>needs the party to deliver a precious pendant to a clergy.</t>
  </si>
  <si>
    <t>needs the party to deliver a precious ring to a clergy.</t>
  </si>
  <si>
    <t>needs the party to deliver a precious robe to a clergy.</t>
  </si>
  <si>
    <t>needs the party to deliver a precious trinket to a clergy.</t>
  </si>
  <si>
    <t>needs the party to deliver a precious bracelet to a clergy.</t>
  </si>
  <si>
    <t>needs the party to deliver a precious amulet to a clergy.</t>
  </si>
  <si>
    <t>needs the party to deliver a precious tiara to a clergy.</t>
  </si>
  <si>
    <t>needs the party to deliver a precious gem to a clergy.</t>
  </si>
  <si>
    <t>needs the party to deliver a precious coin to a clergy.</t>
  </si>
  <si>
    <t>needs the party to deliver a precious dagger to a clergy.</t>
  </si>
  <si>
    <t>needs the party to deliver a precious short sword to a clergy.</t>
  </si>
  <si>
    <t>needs the party to deliver a precious light crossbow to a clergy.</t>
  </si>
  <si>
    <t>needs the party to deliver a precious shortbow to a clergy.</t>
  </si>
  <si>
    <t>needs the party to deliver a precious sling to a clergy.</t>
  </si>
  <si>
    <t>needs the party to deliver a precious club to a clergy.</t>
  </si>
  <si>
    <t>needs the party to deliver a precious javelin to a clergy.</t>
  </si>
  <si>
    <t>needs the party to deliver a precious warhammer to a clergy.</t>
  </si>
  <si>
    <t>needs the party to deliver a precious mace to a clergy.</t>
  </si>
  <si>
    <t>needs the party to deliver a precious quarterstaff to a clergy.</t>
  </si>
  <si>
    <t>needs the party to deliver a precious spear to a clergy.</t>
  </si>
  <si>
    <t>needs the party to deliver a precious battleaxe to a clergy.</t>
  </si>
  <si>
    <t>needs the party to deliver a precious flail to a clergy.</t>
  </si>
  <si>
    <t>needs the party to deliver a precious great axe to a clergy.</t>
  </si>
  <si>
    <t>needs the party to deliver a precious lance to a clergy.</t>
  </si>
  <si>
    <t>needs the party to deliver a precious long sword to a clergy.</t>
  </si>
  <si>
    <t>needs the party to deliver a precious maul to a clergy.</t>
  </si>
  <si>
    <t>needs the party to deliver a precious morningstar to a clergy.</t>
  </si>
  <si>
    <t>needs the party to deliver a precious pike to a clergy.</t>
  </si>
  <si>
    <t>needs the party to deliver a precious trident to a clergy.</t>
  </si>
  <si>
    <t>needs the party to deliver a precious rapier to a clergy.</t>
  </si>
  <si>
    <t>needs the party to deliver a precious scimitar to a clergy.</t>
  </si>
  <si>
    <t>needs the party to deliver a precious whip to a clergy.</t>
  </si>
  <si>
    <t>needs the party to deliver a precious blowgun to a clergy.</t>
  </si>
  <si>
    <t>needs the party to deliver a precious crossbow to a clergy.</t>
  </si>
  <si>
    <t>needs the party to deliver a precious net to a clergy.</t>
  </si>
  <si>
    <t>needs the party to deliver a precious longbow to a clergy.</t>
  </si>
  <si>
    <t>needs the party to deliver a precious pendant to a monastery.</t>
  </si>
  <si>
    <t>needs the party to deliver a precious ring to a monastery.</t>
  </si>
  <si>
    <t>needs the party to deliver a precious robe to a monastery.</t>
  </si>
  <si>
    <t>needs the party to deliver a precious trinket to a monastery.</t>
  </si>
  <si>
    <t>needs the party to deliver a precious bracelet to a monastery.</t>
  </si>
  <si>
    <t>needs the party to deliver a precious amulet to a monastery.</t>
  </si>
  <si>
    <t>needs the party to deliver a precious tiara to a monastery.</t>
  </si>
  <si>
    <t>needs the party to deliver a precious gem to a monastery.</t>
  </si>
  <si>
    <t>needs the party to deliver a precious coin to a monastery.</t>
  </si>
  <si>
    <t>needs the party to deliver a precious dagger to a monastery.</t>
  </si>
  <si>
    <t>needs the party to deliver a precious short sword to a monastery.</t>
  </si>
  <si>
    <t>needs the party to deliver a precious light crossbow to a monastery.</t>
  </si>
  <si>
    <t>needs the party to deliver a precious shortbow to a monastery.</t>
  </si>
  <si>
    <t>needs the party to deliver a precious sling to a monastery.</t>
  </si>
  <si>
    <t>needs the party to deliver a precious club to a monastery.</t>
  </si>
  <si>
    <t>needs the party to deliver a precious javelin to a monastery.</t>
  </si>
  <si>
    <t>needs the party to deliver a precious warhammer to a monastery.</t>
  </si>
  <si>
    <t>needs the party to deliver a precious mace to a monastery.</t>
  </si>
  <si>
    <t>needs the party to deliver a precious quarterstaff to a monastery.</t>
  </si>
  <si>
    <t>needs the party to deliver a precious spear to a monastery.</t>
  </si>
  <si>
    <t>needs the party to deliver a precious battleaxe to a monastery.</t>
  </si>
  <si>
    <t>needs the party to deliver a precious flail to a monastery.</t>
  </si>
  <si>
    <t>needs the party to deliver a precious great axe to a monastery.</t>
  </si>
  <si>
    <t>needs the party to deliver a precious lance to a monastery.</t>
  </si>
  <si>
    <t>needs the party to deliver a precious long sword to a monastery.</t>
  </si>
  <si>
    <t>needs the party to deliver a precious maul to a monastery.</t>
  </si>
  <si>
    <t>needs the party to deliver a precious morningstar to a monastery.</t>
  </si>
  <si>
    <t>needs the party to deliver a precious pike to a monastery.</t>
  </si>
  <si>
    <t>needs the party to deliver a precious trident to a monastery.</t>
  </si>
  <si>
    <t>needs the party to deliver a precious rapier to a monastery.</t>
  </si>
  <si>
    <t>needs the party to deliver a precious scimitar to a monastery.</t>
  </si>
  <si>
    <t>needs the party to deliver a precious whip to a monastery.</t>
  </si>
  <si>
    <t>needs the party to deliver a precious blowgun to a monastery.</t>
  </si>
  <si>
    <t>needs the party to deliver a precious crossbow to a monastery.</t>
  </si>
  <si>
    <t>needs the party to deliver a precious net to a monastery.</t>
  </si>
  <si>
    <t>needs the party to deliver a precious longbow to a monastery.</t>
  </si>
  <si>
    <t>needs the party to deliver a precious pendant to a traders' guild.</t>
  </si>
  <si>
    <t>needs the party to deliver a precious ring to a traders' guild.</t>
  </si>
  <si>
    <t>needs the party to deliver a precious robe to a traders' guild.</t>
  </si>
  <si>
    <t>needs the party to deliver a precious trinket to a traders' guild.</t>
  </si>
  <si>
    <t>needs the party to deliver a precious bracelet to a traders' guild.</t>
  </si>
  <si>
    <t>needs the party to deliver a precious amulet to a traders' guild.</t>
  </si>
  <si>
    <t>needs the party to deliver a precious tiara to a traders' guild.</t>
  </si>
  <si>
    <t>needs the party to deliver a precious gem to a traders' guild.</t>
  </si>
  <si>
    <t>needs the party to deliver a precious coin to a traders' guild.</t>
  </si>
  <si>
    <t>needs the party to deliver a precious dagger to a traders' guild.</t>
  </si>
  <si>
    <t>needs the party to deliver a precious short sword to a traders' guild.</t>
  </si>
  <si>
    <t>needs the party to deliver a precious light crossbow to a traders' guild.</t>
  </si>
  <si>
    <t>needs the party to deliver a precious shortbow to a traders' guild.</t>
  </si>
  <si>
    <t>needs the party to deliver a precious sling to a traders' guild.</t>
  </si>
  <si>
    <t>needs the party to deliver a precious club to a traders' guild.</t>
  </si>
  <si>
    <t>needs the party to deliver a precious javelin to a traders' guild.</t>
  </si>
  <si>
    <t>needs the party to deliver a precious warhammer to a traders' guild.</t>
  </si>
  <si>
    <t>needs the party to deliver a precious mace to a traders' guild.</t>
  </si>
  <si>
    <t>needs the party to deliver a precious quarterstaff to a traders' guild.</t>
  </si>
  <si>
    <t>needs the party to deliver a precious spear to a traders' guild.</t>
  </si>
  <si>
    <t>needs the party to deliver a precious battleaxe to a traders' guild.</t>
  </si>
  <si>
    <t>needs the party to deliver a precious flail to a traders' guild.</t>
  </si>
  <si>
    <t>needs the party to deliver a precious great axe to a traders' guild.</t>
  </si>
  <si>
    <t>needs the party to deliver a precious lance to a traders' guild.</t>
  </si>
  <si>
    <t>needs the party to deliver a precious long sword to a traders' guild.</t>
  </si>
  <si>
    <t>needs the party to deliver a precious maul to a traders' guild.</t>
  </si>
  <si>
    <t>needs the party to deliver a precious morningstar to a traders' guild.</t>
  </si>
  <si>
    <t>needs the party to deliver a precious pike to a traders' guild.</t>
  </si>
  <si>
    <t>needs the party to deliver a precious trident to a traders' guild.</t>
  </si>
  <si>
    <t>needs the party to deliver a precious rapier to a traders' guild.</t>
  </si>
  <si>
    <t>needs the party to deliver a precious scimitar to a traders' guild.</t>
  </si>
  <si>
    <t>needs the party to deliver a precious whip to a traders' guild.</t>
  </si>
  <si>
    <t>needs the party to deliver a precious blowgun to a traders' guild.</t>
  </si>
  <si>
    <t>needs the party to deliver a precious crossbow to a traders' guild.</t>
  </si>
  <si>
    <t>needs the party to deliver a precious net to a traders' guild.</t>
  </si>
  <si>
    <t>needs the party to deliver a precious longbow to a traders' guild.</t>
  </si>
  <si>
    <t>is spying on the party on behalf of an organization of dwarves.</t>
  </si>
  <si>
    <t>is spying on the party on behalf of an organization of elves</t>
  </si>
  <si>
    <t>is spying on the party on behalf of an organization of tieflings</t>
  </si>
  <si>
    <t>is spying on the party on behalf of an organization of dragonborns</t>
  </si>
  <si>
    <t>is spying on the party on behalf of an organization of demons</t>
  </si>
  <si>
    <t>is spying on the party on behalf of an organization of dragons</t>
  </si>
  <si>
    <t>is spying on the party on behalf of an organization of gnomes</t>
  </si>
  <si>
    <t>is spying on the party on behalf of an organization of halflings</t>
  </si>
  <si>
    <t>is spying on the party on behalf of an organization of orcs</t>
  </si>
  <si>
    <t>is spying on the party on behalf of an organization of goblins</t>
  </si>
  <si>
    <t>is spying on the party on behalf of an organization of kobolds</t>
  </si>
  <si>
    <t>is spying on the party on behalf of the local wizards' guild.</t>
  </si>
  <si>
    <t>is spying on the party on behalf of the local theif's guild.</t>
  </si>
  <si>
    <t>is spying on the party on behalf of the local witchs' cove.</t>
  </si>
  <si>
    <t>is spying on the party on behalf of the local cult's hideout.</t>
  </si>
  <si>
    <t>is spying on the party on behalf of the local clergy.</t>
  </si>
  <si>
    <t>is spying on the party on behalf of the local monastery.</t>
  </si>
  <si>
    <t>is spying on the party on behalf of the local traders' guild.</t>
  </si>
  <si>
    <t>needs help gathering information on an organization of dwarves.</t>
  </si>
  <si>
    <t>needs help gathering information on an organization of elves</t>
  </si>
  <si>
    <t>needs help gathering information on an organization of tieflings</t>
  </si>
  <si>
    <t>needs help gathering information on an organization of dragonborns</t>
  </si>
  <si>
    <t>needs help gathering information on an organization of demons</t>
  </si>
  <si>
    <t>needs help gathering information on an organization of dragons</t>
  </si>
  <si>
    <t>needs help gathering information on an organization of gnomes</t>
  </si>
  <si>
    <t>needs help gathering information on an organization of halflings</t>
  </si>
  <si>
    <t>needs help gathering information on an organization of orcs</t>
  </si>
  <si>
    <t>needs help gathering information on an organization of goblins</t>
  </si>
  <si>
    <t>needs help gathering information on an organization of kobolds</t>
  </si>
  <si>
    <t>needs help gathering information on the local wizards' guild.</t>
  </si>
  <si>
    <t>needs help gathering information on the local theif's guild.</t>
  </si>
  <si>
    <t>needs help gathering information on the local witchs' cove.</t>
  </si>
  <si>
    <t>needs help gathering information on the local cult's hideout.</t>
  </si>
  <si>
    <t>needs help gathering information on the local clergy.</t>
  </si>
  <si>
    <t>needs help gathering information on the local monastery.</t>
  </si>
  <si>
    <t>needs help gathering information on the local traders' guild.</t>
  </si>
  <si>
    <t>is being haunted by a ghost.</t>
  </si>
  <si>
    <t>has a duel to the death on the morrow with a wizard but is afraid to lose it</t>
  </si>
  <si>
    <t>has a duel to the death on the morrow with a thief but is afraid to lose it</t>
  </si>
  <si>
    <t>has a duel to the death on the morrow with a witch but is afraid to lose it</t>
  </si>
  <si>
    <t>has a duel to the death on the morrow with a clergy but is afraid to lose it</t>
  </si>
  <si>
    <t>has a duel to the death on the morrow with a monk but is afraid to lose it</t>
  </si>
  <si>
    <t>has a duel to the death on the morrow with a sellsword but is afraid to lose it</t>
  </si>
  <si>
    <t>is being blackmailed into challenging a PC to a duel to the death.</t>
  </si>
  <si>
    <t>has recently come into possessionof a powerful magical  pendant and nobody knows how.</t>
  </si>
  <si>
    <t>has recently come into possessionof a powerful magical  ring and nobody knows how.</t>
  </si>
  <si>
    <t>has recently come into possessionof a powerful magical  robe and nobody knows how.</t>
  </si>
  <si>
    <t>has recently come into possessionof a powerful magical  trinket and nobody knows how.</t>
  </si>
  <si>
    <t>has recently come into possessionof a powerful magical  bracelet and nobody knows how.</t>
  </si>
  <si>
    <t>has recently come into possessionof a powerful magical  amulet and nobody knows how.</t>
  </si>
  <si>
    <t>has recently come into possessionof a powerful magical  tiara and nobody knows how.</t>
  </si>
  <si>
    <t>has recently come into possessionof a powerful magical  gem and nobody knows how.</t>
  </si>
  <si>
    <t>has recently come into possessionof a powerful magical  coin and nobody knows how.</t>
  </si>
  <si>
    <t>has recently come into possessionof a powerful magical  dagger and nobody knows how.</t>
  </si>
  <si>
    <t>has recently come into possessionof a powerful magical  short sword and nobody knows how.</t>
  </si>
  <si>
    <t>has recently come into possessionof a powerful magical  light crossbow and nobody knows how.</t>
  </si>
  <si>
    <t>has recently come into possessionof a powerful magical  shortbow and nobody knows how.</t>
  </si>
  <si>
    <t>has recently come into possessionof a powerful magical  sling and nobody knows how.</t>
  </si>
  <si>
    <t>has recently come into possessionof a powerful magical  club and nobody knows how.</t>
  </si>
  <si>
    <t>has recently come into possessionof a powerful magical  javelin and nobody knows how.</t>
  </si>
  <si>
    <t>has recently come into possessionof a powerful magical  warhammer and nobody knows how.</t>
  </si>
  <si>
    <t>has recently come into possessionof a powerful magical  mace and nobody knows how.</t>
  </si>
  <si>
    <t>has recently come into possessionof a powerful magical  quarterstaff and nobody knows how.</t>
  </si>
  <si>
    <t>has recently come into possessionof a powerful magical  spear and nobody knows how.</t>
  </si>
  <si>
    <t>has recently come into possessionof a powerful magical  battleaxe and nobody knows how.</t>
  </si>
  <si>
    <t>has recently come into possessionof a powerful magical  flail and nobody knows how.</t>
  </si>
  <si>
    <t>has recently come into possessionof a powerful magical  great axe and nobody knows how.</t>
  </si>
  <si>
    <t>has recently come into possessionof a powerful magical  lance and nobody knows how.</t>
  </si>
  <si>
    <t>has recently come into possessionof a powerful magical  long sword and nobody knows how.</t>
  </si>
  <si>
    <t>has recently come into possessionof a powerful magical  maul and nobody knows how.</t>
  </si>
  <si>
    <t>has recently come into possessionof a powerful magical  morningstar and nobody knows how.</t>
  </si>
  <si>
    <t>has recently come into possessionof a powerful magical  pike and nobody knows how.</t>
  </si>
  <si>
    <t>has recently come into possessionof a powerful magical  trident and nobody knows how.</t>
  </si>
  <si>
    <t>has recently come into possessionof a powerful magical  rapier and nobody knows how.</t>
  </si>
  <si>
    <t>has recently come into possessionof a powerful magical  scimitar and nobody knows how.</t>
  </si>
  <si>
    <t>has recently come into possessionof a powerful magical  whip and nobody knows how.</t>
  </si>
  <si>
    <t>has recently come into possessionof a powerful magical  blowgun and nobody knows how.</t>
  </si>
  <si>
    <t>has recently come into possessionof a powerful magical  crossbow and nobody knows how.</t>
  </si>
  <si>
    <t>has recently come into possessionof a powerful magical  net and nobody knows how.</t>
  </si>
  <si>
    <t>has recently come into possessionof a powerful magical  longbow and nobody knows how.</t>
  </si>
  <si>
    <t>has recently woken up with a magical rune on their arm</t>
  </si>
  <si>
    <t>has recently woken up with a magical rune on their hand</t>
  </si>
  <si>
    <t>has recently woken up with a magical rune on their leg</t>
  </si>
  <si>
    <t>has recently woken up with a magical rune on their foot</t>
  </si>
  <si>
    <t>has recently woken up with a magical rune on their neck</t>
  </si>
  <si>
    <t>has recently woken up with a magical rune on their chest</t>
  </si>
  <si>
    <t>has recently woken up with a magical rune on their head</t>
  </si>
  <si>
    <t>has recently woken up with a magical rune on their back</t>
  </si>
  <si>
    <t>is being haunted the the ghost of a dead brother</t>
  </si>
  <si>
    <t>is being haunted the the ghost of a dead sister</t>
  </si>
  <si>
    <t>is being haunted the the ghost of a dead parent</t>
  </si>
  <si>
    <t>is being haunted the the ghost of a dead son</t>
  </si>
  <si>
    <t>is being haunted the the ghost of a dead daughter</t>
  </si>
  <si>
    <t>is being haunted the the ghost of a dead partner</t>
  </si>
  <si>
    <t>is being haunted the the ghost of a dead cousin</t>
  </si>
  <si>
    <t>was tricked into wearing a cursed pendant</t>
  </si>
  <si>
    <t>was tricked into wearing a cursed ring</t>
  </si>
  <si>
    <t>was tricked into wearing a cursed robe</t>
  </si>
  <si>
    <t>was tricked into wearing a cursed trinket</t>
  </si>
  <si>
    <t>was tricked into wearing a cursed bracelet</t>
  </si>
  <si>
    <t>was tricked into wearing a cursed amulet</t>
  </si>
  <si>
    <t>was tricked into wearing a cursed tiara</t>
  </si>
  <si>
    <t>was tricked into wearing a cursed gem</t>
  </si>
  <si>
    <t>was tricked into wearing a cursed coin</t>
  </si>
  <si>
    <t>has discovered a secret passage under their house leading to a mysterious cave</t>
  </si>
  <si>
    <t>has discovered a secret passage under their house leading to a secret organisation.</t>
  </si>
  <si>
    <t>has discovered a secret passage under their house leading to an hidden temple.</t>
  </si>
  <si>
    <t>is organizing a  horse riding contest for a pendant</t>
  </si>
  <si>
    <t>is organizing a  horse riding contest for a ring</t>
  </si>
  <si>
    <t>is organizing a  horse riding contest for a robe</t>
  </si>
  <si>
    <t>is organizing a  horse riding contest for a trinket</t>
  </si>
  <si>
    <t>is organizing a  horse riding contest for a bracelet</t>
  </si>
  <si>
    <t>is organizing a  horse riding contest for a amulet</t>
  </si>
  <si>
    <t>is organizing a  horse riding contest for a tiara</t>
  </si>
  <si>
    <t>is organizing a  horse riding contest for a gem</t>
  </si>
  <si>
    <t>is organizing a  horse riding contest for a coin</t>
  </si>
  <si>
    <t>is organizing a  drinking competition for a pendant</t>
  </si>
  <si>
    <t>is organizing a  drinking competition for a ring</t>
  </si>
  <si>
    <t>is organizing a  drinking competition for a robe</t>
  </si>
  <si>
    <t>is organizing a  drinking competition for a trinket</t>
  </si>
  <si>
    <t>is organizing a  drinking competition for a bracelet</t>
  </si>
  <si>
    <t>is organizing a  drinking competition for a amulet</t>
  </si>
  <si>
    <t>is organizing a  drinking competition for a tiara</t>
  </si>
  <si>
    <t>is organizing a  drinking competition for a gem</t>
  </si>
  <si>
    <t>is organizing a  drinking competition for a coin</t>
  </si>
  <si>
    <t>is organizing a  hunting competition for a pendant</t>
  </si>
  <si>
    <t>is organizing a  hunting competition for a ring</t>
  </si>
  <si>
    <t>is organizing a  hunting competition for a robe</t>
  </si>
  <si>
    <t>is organizing a  hunting competition for a trinket</t>
  </si>
  <si>
    <t>is organizing a  hunting competition for a bracelet</t>
  </si>
  <si>
    <t>is organizing a  hunting competition for a amulet</t>
  </si>
  <si>
    <t>is organizing a  hunting competition for a tiara</t>
  </si>
  <si>
    <t>is organizing a  hunting competition for a gem</t>
  </si>
  <si>
    <t>is organizing a  hunting competition for a coin</t>
  </si>
  <si>
    <t>is organizing a  monster slaying competition for a pendant</t>
  </si>
  <si>
    <t>is organizing a  monster slaying competition for a ring</t>
  </si>
  <si>
    <t>is organizing a  monster slaying competition for a robe</t>
  </si>
  <si>
    <t>is organizing a  monster slaying competition for a trinket</t>
  </si>
  <si>
    <t>is organizing a  monster slaying competition for a bracelet</t>
  </si>
  <si>
    <t>is organizing a  monster slaying competition for a amulet</t>
  </si>
  <si>
    <t>is organizing a  monster slaying competition for a tiara</t>
  </si>
  <si>
    <t>is organizing a  monster slaying competition for a gem</t>
  </si>
  <si>
    <t>is organizing a  monster slaying competition for a coin</t>
  </si>
  <si>
    <t>is organizing a  shooting contest for a pendant</t>
  </si>
  <si>
    <t>is organizing a  shooting contest for a ring</t>
  </si>
  <si>
    <t>is organizing a  shooting contest for a robe</t>
  </si>
  <si>
    <t>is organizing a  shooting contest for a trinket</t>
  </si>
  <si>
    <t>is organizing a  shooting contest for a bracelet</t>
  </si>
  <si>
    <t>is organizing a  shooting contest for a amulet</t>
  </si>
  <si>
    <t>is organizing a  shooting contest for a tiara</t>
  </si>
  <si>
    <t>is organizing a  shooting contest for a gem</t>
  </si>
  <si>
    <t>is organizing a  shooting contest for a coin</t>
  </si>
  <si>
    <t>is organizing a  fighting competition for a pendant</t>
  </si>
  <si>
    <t>is organizing a  fighting competition for a ring</t>
  </si>
  <si>
    <t>is organizing a  fighting competition for a robe</t>
  </si>
  <si>
    <t>is organizing a  fighting competition for a trinket</t>
  </si>
  <si>
    <t>is organizing a  fighting competition for a bracelet</t>
  </si>
  <si>
    <t>is organizing a  fighting competition for a amulet</t>
  </si>
  <si>
    <t>is organizing a  fighting competition for a tiara</t>
  </si>
  <si>
    <t>is organizing a  fighting competition for a gem</t>
  </si>
  <si>
    <t>is organizing a  fighting competition for a coin</t>
  </si>
  <si>
    <t>is organizing a  hot coal race for a pendant</t>
  </si>
  <si>
    <t>is organizing a  hot coal race for a ring</t>
  </si>
  <si>
    <t>is organizing a  hot coal race for a robe</t>
  </si>
  <si>
    <t>is organizing a  hot coal race for a trinket</t>
  </si>
  <si>
    <t>is organizing a  hot coal race for a bracelet</t>
  </si>
  <si>
    <t>is organizing a  hot coal race for a amulet</t>
  </si>
  <si>
    <t>is organizing a  hot coal race for a tiara</t>
  </si>
  <si>
    <t>is organizing a  hot coal race for a gem</t>
  </si>
  <si>
    <t>is organizing a  hot coal race for a coin</t>
  </si>
  <si>
    <t>is organizing a  book reading competition for a pendant</t>
  </si>
  <si>
    <t>is organizing a  book reading competition for a ring</t>
  </si>
  <si>
    <t>is organizing a  book reading competition for a robe</t>
  </si>
  <si>
    <t>is organizing a  book reading competition for a trinket</t>
  </si>
  <si>
    <t>is organizing a  book reading competition for a bracelet</t>
  </si>
  <si>
    <t>is organizing a  book reading competition for a amulet</t>
  </si>
  <si>
    <t>is organizing a  book reading competition for a tiara</t>
  </si>
  <si>
    <t>is organizing a  book reading competition for a gem</t>
  </si>
  <si>
    <t>is organizing a  book reading competition for a coin</t>
  </si>
  <si>
    <t>is organizing a  grand melee tournament for a pendant</t>
  </si>
  <si>
    <t>is organizing a  grand melee tournament for a ring</t>
  </si>
  <si>
    <t>is organizing a  grand melee tournament for a robe</t>
  </si>
  <si>
    <t>is organizing a  grand melee tournament for a trinket</t>
  </si>
  <si>
    <t>is organizing a  grand melee tournament for a bracelet</t>
  </si>
  <si>
    <t>is organizing a  grand melee tournament for a amulet</t>
  </si>
  <si>
    <t>is organizing a  grand melee tournament for a tiara</t>
  </si>
  <si>
    <t>is organizing a  grand melee tournament for a gem</t>
  </si>
  <si>
    <t>is organizing a  grand melee tournament for a coin</t>
  </si>
  <si>
    <t>is organizing a  pie eating competition for a pendant</t>
  </si>
  <si>
    <t>is organizing a  pie eating competition for a ring</t>
  </si>
  <si>
    <t>is organizing a  pie eating competition for a robe</t>
  </si>
  <si>
    <t>is organizing a  pie eating competition for a trinket</t>
  </si>
  <si>
    <t>is organizing a  pie eating competition for a bracelet</t>
  </si>
  <si>
    <t>is organizing a  pie eating competition for a amulet</t>
  </si>
  <si>
    <t>is organizing a  pie eating competition for a tiara</t>
  </si>
  <si>
    <t>is organizing a  pie eating competition for a gem</t>
  </si>
  <si>
    <t>is organizing a  pie eating competition for a coin</t>
  </si>
  <si>
    <t>is organizing a  race for a pendant</t>
  </si>
  <si>
    <t>is organizing a  race for a ring</t>
  </si>
  <si>
    <t>is organizing a  race for a robe</t>
  </si>
  <si>
    <t>is organizing a  race for a trinket</t>
  </si>
  <si>
    <t>is organizing a  race for a bracelet</t>
  </si>
  <si>
    <t>is organizing a  race for a amulet</t>
  </si>
  <si>
    <t>is organizing a  race for a tiara</t>
  </si>
  <si>
    <t>is organizing a  race for a gem</t>
  </si>
  <si>
    <t>is organizing a  race for a coin</t>
  </si>
  <si>
    <t>is organizing a  pumpkin tossing contest for a pendant</t>
  </si>
  <si>
    <t>is organizing a  pumpkin tossing contest for a ring</t>
  </si>
  <si>
    <t>is organizing a  pumpkin tossing contest for a robe</t>
  </si>
  <si>
    <t>is organizing a  pumpkin tossing contest for a trinket</t>
  </si>
  <si>
    <t>is organizing a  pumpkin tossing contest for a bracelet</t>
  </si>
  <si>
    <t>is organizing a  pumpkin tossing contest for a amulet</t>
  </si>
  <si>
    <t>is organizing a  pumpkin tossing contest for a tiara</t>
  </si>
  <si>
    <t>is organizing a  pumpkin tossing contest for a gem</t>
  </si>
  <si>
    <t>is organizing a  pumpkin tossing contest for a coin</t>
  </si>
  <si>
    <t>is organizing a  rock throwing competition for a pendant</t>
  </si>
  <si>
    <t>is organizing a  rock throwing competition for a ring</t>
  </si>
  <si>
    <t>is organizing a  rock throwing competition for a robe</t>
  </si>
  <si>
    <t>is organizing a  rock throwing competition for a trinket</t>
  </si>
  <si>
    <t>is organizing a  rock throwing competition for a bracelet</t>
  </si>
  <si>
    <t>is organizing a  rock throwing competition for a amulet</t>
  </si>
  <si>
    <t>is organizing a  rock throwing competition for a tiara</t>
  </si>
  <si>
    <t>is organizing a  rock throwing competition for a gem</t>
  </si>
  <si>
    <t>is organizing a  rock throwing competition for a coin</t>
  </si>
  <si>
    <t>is organizing a  tree trunk tossing competition for a pendant</t>
  </si>
  <si>
    <t>is organizing a  tree trunk tossing competition for a ring</t>
  </si>
  <si>
    <t>is organizing a  tree trunk tossing competition for a robe</t>
  </si>
  <si>
    <t>is organizing a  tree trunk tossing competition for a trinket</t>
  </si>
  <si>
    <t>is organizing a  tree trunk tossing competition for a bracelet</t>
  </si>
  <si>
    <t>is organizing a  tree trunk tossing competition for a amulet</t>
  </si>
  <si>
    <t>is organizing a  tree trunk tossing competition for a tiara</t>
  </si>
  <si>
    <t>is organizing a  tree trunk tossing competition for a gem</t>
  </si>
  <si>
    <t>is organizing a  tree trunk tossing competition for a coin</t>
  </si>
  <si>
    <t>needs help organizing a horse riding contest</t>
  </si>
  <si>
    <t>needs help organizing a drinking competition</t>
  </si>
  <si>
    <t>needs help organizing a hunting competition</t>
  </si>
  <si>
    <t>needs help organizing a monster slaying competition</t>
  </si>
  <si>
    <t>needs help organizing a shooting contest</t>
  </si>
  <si>
    <t>needs help organizing a fighting competition</t>
  </si>
  <si>
    <t>needs help organizing a hot coal race</t>
  </si>
  <si>
    <t>needs help organizing a book reading competition</t>
  </si>
  <si>
    <t>needs help organizing a grand melee tournament</t>
  </si>
  <si>
    <t>needs help organizing a pie eating competition</t>
  </si>
  <si>
    <t>needs help organizing a race</t>
  </si>
  <si>
    <t>needs help organizing a pumpkin tossing contest</t>
  </si>
  <si>
    <t>needs help organizing a rock throwing competition</t>
  </si>
  <si>
    <t>needs help organizing a tree trunk tossing competition</t>
  </si>
  <si>
    <t>is currently chasing a bandit and asks the PCs for help.</t>
  </si>
  <si>
    <t>is currently being chased by law enforcement and asks the PCs for protection.</t>
  </si>
  <si>
    <t>has been hired to steal items from the PCs.</t>
  </si>
  <si>
    <t>has been hired to steal money from the PCs.</t>
  </si>
  <si>
    <t>has been hired to assassinate the PCs.</t>
  </si>
  <si>
    <t>is possessed by an evil spirit who makesthem do horrible things at night, without remembering them.</t>
  </si>
  <si>
    <t>is possessed by an evil spirit during the day and can only control themself at night.</t>
  </si>
  <si>
    <t>is currently being chased by a band of bandits attempting to rob them and asks the PCs for protection</t>
  </si>
  <si>
    <t>is the host of a terrible and deadly sickness.</t>
  </si>
  <si>
    <t>Their blood is the cure to a terrible and deadly sickness.</t>
  </si>
  <si>
    <t>needs help exorcising a brother</t>
  </si>
  <si>
    <t>needs help exorcising a sister</t>
  </si>
  <si>
    <t>needs help exorcising a parent</t>
  </si>
  <si>
    <t>needs help exorcising a son</t>
  </si>
  <si>
    <t>needs help exorcising a daughter</t>
  </si>
  <si>
    <t>needs help exorcising a partner</t>
  </si>
  <si>
    <t>needs help exorcising a cousin</t>
  </si>
  <si>
    <t>is in dire need of some vampire blood</t>
  </si>
  <si>
    <t>is in dire need of some dragon blood</t>
  </si>
  <si>
    <t>is in dire need of some troll blood</t>
  </si>
  <si>
    <t>is in dire need of some lycantrope blood</t>
  </si>
  <si>
    <t>is in dire need of some basilisk blood</t>
  </si>
  <si>
    <t>is in dire need of some medusa blood</t>
  </si>
  <si>
    <t>is in dire need of some beholder blood</t>
  </si>
  <si>
    <t>is in dire need of some chimera blood</t>
  </si>
  <si>
    <t>is in dire need of some cloaker blood</t>
  </si>
  <si>
    <t>is in dire need of some doppelganger blood</t>
  </si>
  <si>
    <t>is in dire need of some gnoll blood</t>
  </si>
  <si>
    <t>is in dire need of some griffon blood</t>
  </si>
  <si>
    <t>is in dire need of some cockatrice blood</t>
  </si>
  <si>
    <t>is in dire need of some demon blood</t>
  </si>
  <si>
    <t>is in dire need of some devil blood</t>
  </si>
  <si>
    <t>is in dire need of some golem blood</t>
  </si>
  <si>
    <t>is in dire need of some water element blood</t>
  </si>
  <si>
    <t>is in dire need of some fire element blood</t>
  </si>
  <si>
    <t>is in dire need of some earth element blood</t>
  </si>
  <si>
    <t>is in dire need of some air element blood</t>
  </si>
  <si>
    <t>is in dire need of some hydra blood</t>
  </si>
  <si>
    <t>is in dire need of some minotaur blood</t>
  </si>
  <si>
    <t>is in dire need of some naga blood</t>
  </si>
  <si>
    <t>is in dire need of some ankheg blood</t>
  </si>
  <si>
    <t>is in dire need of some angel blood</t>
  </si>
  <si>
    <t>is in dire need of some unicorn blood</t>
  </si>
  <si>
    <t>wants the PCs to help  kill a vampire</t>
  </si>
  <si>
    <t>wants the PCs to help  kill a dragon</t>
  </si>
  <si>
    <t>wants the PCs to help  kill a troll</t>
  </si>
  <si>
    <t>wants the PCs to help  kill a lycantrope</t>
  </si>
  <si>
    <t>wants the PCs to help  kill a basilisk</t>
  </si>
  <si>
    <t>wants the PCs to help  kill a medusa</t>
  </si>
  <si>
    <t>wants the PCs to help  kill a beholder</t>
  </si>
  <si>
    <t>wants the PCs to help  kill a chimera</t>
  </si>
  <si>
    <t>wants the PCs to help  kill a cloaker</t>
  </si>
  <si>
    <t>wants the PCs to help  kill a doppelganger</t>
  </si>
  <si>
    <t>wants the PCs to help  kill a gnoll</t>
  </si>
  <si>
    <t>wants the PCs to help  kill a griffon</t>
  </si>
  <si>
    <t>wants the PCs to help  kill a cockatrice</t>
  </si>
  <si>
    <t>wants the PCs to help  kill a demon</t>
  </si>
  <si>
    <t>wants the PCs to help  kill a devil</t>
  </si>
  <si>
    <t>wants the PCs to help  kill a golem</t>
  </si>
  <si>
    <t>wants the PCs to help  kill a water element</t>
  </si>
  <si>
    <t>wants the PCs to help  kill a fire element</t>
  </si>
  <si>
    <t>wants the PCs to help  kill a earth element</t>
  </si>
  <si>
    <t>wants the PCs to help  kill a air element</t>
  </si>
  <si>
    <t>wants the PCs to help  kill a hydra</t>
  </si>
  <si>
    <t>wants the PCs to help  kill a minotaur</t>
  </si>
  <si>
    <t>wants the PCs to help  kill a naga</t>
  </si>
  <si>
    <t>wants the PCs to help  kill a ankheg</t>
  </si>
  <si>
    <t>wants the PCs to help  kill a angel</t>
  </si>
  <si>
    <t>wants the PCs to help  kill a unicorn</t>
  </si>
  <si>
    <t>wants the PCs to help capture a vampire</t>
  </si>
  <si>
    <t>wants the PCs to help capture a dragon</t>
  </si>
  <si>
    <t>wants the PCs to help capture a troll</t>
  </si>
  <si>
    <t>wants the PCs to help capture a lycantrope</t>
  </si>
  <si>
    <t>wants the PCs to help capture a basilisk</t>
  </si>
  <si>
    <t>wants the PCs to help capture a medusa</t>
  </si>
  <si>
    <t>wants the PCs to help capture a beholder</t>
  </si>
  <si>
    <t>wants the PCs to help capture a chimera</t>
  </si>
  <si>
    <t>wants the PCs to help capture a cloaker</t>
  </si>
  <si>
    <t>wants the PCs to help capture a doppelganger</t>
  </si>
  <si>
    <t>wants the PCs to help capture a gnoll</t>
  </si>
  <si>
    <t>wants the PCs to help capture a griffon</t>
  </si>
  <si>
    <t>wants the PCs to help capture a cockatrice</t>
  </si>
  <si>
    <t>wants the PCs to help capture a demon</t>
  </si>
  <si>
    <t>wants the PCs to help capture a devil</t>
  </si>
  <si>
    <t>wants the PCs to help capture a golem</t>
  </si>
  <si>
    <t>wants the PCs to help capture a water element</t>
  </si>
  <si>
    <t>wants the PCs to help capture a fire element</t>
  </si>
  <si>
    <t>wants the PCs to help capture a earth element</t>
  </si>
  <si>
    <t>wants the PCs to help capture a air element</t>
  </si>
  <si>
    <t>wants the PCs to help capture a hydra</t>
  </si>
  <si>
    <t>wants the PCs to help capture a minotaur</t>
  </si>
  <si>
    <t>wants the PCs to help capture a naga</t>
  </si>
  <si>
    <t>wants the PCs to help capture a ankheg</t>
  </si>
  <si>
    <t>wants the PCs to help capture a angel</t>
  </si>
  <si>
    <t>wants the PCs to help capture a unicorn</t>
  </si>
  <si>
    <t>has learned of the existence of a shrine to the archdevil Bel</t>
  </si>
  <si>
    <t>has learned of the existence of a shrine to the archdevil Dispater</t>
  </si>
  <si>
    <t>has learned of the existence of a shrine to the archdevil Mammon</t>
  </si>
  <si>
    <t>has learned of the existence of a shrine to the archdevil Fierna</t>
  </si>
  <si>
    <t>has learned of the existence of a shrine to the archdevil Belial</t>
  </si>
  <si>
    <t>has learned of the existence of a shrine to the archdevil Prince Levistus</t>
  </si>
  <si>
    <t>has learned of the existence of a shrine to the archdevil Glasya</t>
  </si>
  <si>
    <t>has learned of the existence of a shrine to the archdevil Baalzebul</t>
  </si>
  <si>
    <t>has learned of the existence of a shrine to the archdevil Mephistopheles</t>
  </si>
  <si>
    <t>has learned of the existence of a shrine to the archdevil Asmodeus</t>
  </si>
  <si>
    <t>is a fountain of wild magic and cannot control it.</t>
  </si>
  <si>
    <t>gives the PCs a magical pendant. Turns out they stole it from a wizard who is hellbent on recovering it.</t>
  </si>
  <si>
    <t>gives the PCs a magical ring. Turns out they stole it from a wizard who is hellbent on recovering it.</t>
  </si>
  <si>
    <t>gives the PCs a magical robe. Turns out they stole it from a wizard who is hellbent on recovering it.</t>
  </si>
  <si>
    <t>gives the PCs a magical trinket. Turns out they stole it from a wizard who is hellbent on recovering it.</t>
  </si>
  <si>
    <t>gives the PCs a magical bracelet. Turns out they stole it from a wizard who is hellbent on recovering it.</t>
  </si>
  <si>
    <t>gives the PCs a magical amulet. Turns out they stole it from a wizard who is hellbent on recovering it.</t>
  </si>
  <si>
    <t>gives the PCs a magical tiara. Turns out they stole it from a wizard who is hellbent on recovering it.</t>
  </si>
  <si>
    <t>gives the PCs a magical gem. Turns out they stole it from a wizard who is hellbent on recovering it.</t>
  </si>
  <si>
    <t>gives the PCs a magical coin. Turns out they stole it from a wizard who is hellbent on recovering it.</t>
  </si>
  <si>
    <t>carries around a large blue egg of unknown origin</t>
  </si>
  <si>
    <t>carries around a large red egg of unknown origin</t>
  </si>
  <si>
    <t>carries around a large green egg of unknown origin</t>
  </si>
  <si>
    <t>carries around a large yellow egg of unknown origin</t>
  </si>
  <si>
    <t>carries around a large pink egg of unknown origin</t>
  </si>
  <si>
    <t>carries around a large brown egg of unknown origin</t>
  </si>
  <si>
    <t>carries around a large black egg of unknown origin</t>
  </si>
  <si>
    <t>carries around a large white egg of unknown origin</t>
  </si>
  <si>
    <t>carries around a large grey egg of unknown origin</t>
  </si>
  <si>
    <t>carries around a large purple egg of unknown origin</t>
  </si>
  <si>
    <t>Category</t>
  </si>
  <si>
    <t>Pick random category</t>
  </si>
  <si>
    <t>Pick random row within category</t>
  </si>
  <si>
    <t>Return Hook from row</t>
  </si>
  <si>
    <t>Random plot selection function - NOT A TABLE!</t>
  </si>
  <si>
    <t>Plot hook</t>
  </si>
  <si>
    <t>A tattoo of an island with a mysterious x on</t>
  </si>
  <si>
    <t>Song about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</si>
</sst>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Aptos Narrow"/>
      <family val="2"/>
      <scheme val="minor"/>
    </font>
    <font>
      <sz val="10"/>
      <color theme="1"/>
      <name val="MyriadPro-Light"/>
    </font>
    <font>
      <sz val="10"/>
      <color rgb="FF2A3C42"/>
      <name val="MyriadPro-Light"/>
    </font>
    <font>
      <sz val="12"/>
      <color theme="1"/>
      <name val="MyriadPro-Light"/>
    </font>
    <font>
      <sz val="14"/>
      <color theme="1"/>
      <name val="MyriadPro-Bold"/>
    </font>
    <font>
      <sz val="14"/>
      <color theme="1"/>
      <name val="MyriadPro-Light"/>
    </font>
    <font>
      <sz val="14"/>
      <color theme="1"/>
      <name val="MyriadPro-SemiboldIt"/>
    </font>
    <font>
      <sz val="14"/>
      <color theme="1"/>
      <name val="MyriadPro-It"/>
    </font>
    <font>
      <sz val="14"/>
      <color rgb="FF000000"/>
      <name val="MyriadPro-Light"/>
    </font>
    <font>
      <sz val="11"/>
      <color theme="1"/>
      <name val="MyriadPro-Light"/>
    </font>
    <font>
      <sz val="12"/>
      <color rgb="FF000000"/>
      <name val="MyriadPro-Light"/>
    </font>
    <font>
      <b/>
      <sz val="11"/>
      <color theme="1"/>
      <name val="MyriadPro-Light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0" fontId="5" fillId="0" borderId="0" xfId="0" applyFont="1"/>
    <xf numFmtId="0" fontId="7" fillId="0" borderId="0" xfId="0" applyFont="1"/>
    <xf numFmtId="0" fontId="6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9" fillId="0" borderId="0" xfId="0" applyFont="1"/>
    <xf numFmtId="0" fontId="1" fillId="0" borderId="0" xfId="0" applyFont="1" applyAlignment="1">
      <alignment vertical="center"/>
    </xf>
    <xf numFmtId="0" fontId="3" fillId="0" borderId="0" xfId="0" applyFont="1" applyAlignment="1">
      <alignment vertical="top" wrapText="1"/>
    </xf>
    <xf numFmtId="0" fontId="7" fillId="0" borderId="7" xfId="0" applyFont="1" applyBorder="1"/>
    <xf numFmtId="0" fontId="4" fillId="0" borderId="7" xfId="0" applyFont="1" applyBorder="1" applyAlignment="1">
      <alignment horizontal="right"/>
    </xf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5" fillId="0" borderId="15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0" fontId="11" fillId="0" borderId="17" xfId="0" applyFont="1" applyBorder="1"/>
    <xf numFmtId="0" fontId="9" fillId="0" borderId="0" xfId="0" applyFont="1" applyBorder="1"/>
    <xf numFmtId="0" fontId="5" fillId="0" borderId="0" xfId="0" applyFont="1" applyAlignment="1">
      <alignment horizontal="left" vertical="top" wrapText="1"/>
    </xf>
    <xf numFmtId="0" fontId="11" fillId="0" borderId="17" xfId="0" applyFont="1" applyBorder="1" applyAlignment="1">
      <alignment horizontal="center"/>
    </xf>
  </cellXfs>
  <cellStyles count="1">
    <cellStyle name="Normal" xfId="0" builtinId="0"/>
  </cellStyles>
  <dxfs count="2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A3C42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  <dxf>
      <font>
        <strike val="0"/>
        <outline val="0"/>
        <shadow val="0"/>
        <u val="none"/>
        <vertAlign val="baseline"/>
        <sz val="10"/>
        <name val="MyriadPro-Ligh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2</xdr:row>
          <xdr:rowOff>25400</xdr:rowOff>
        </xdr:from>
        <xdr:to>
          <xdr:col>13</xdr:col>
          <xdr:colOff>736600</xdr:colOff>
          <xdr:row>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NPC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3</xdr:row>
          <xdr:rowOff>88900</xdr:rowOff>
        </xdr:from>
        <xdr:to>
          <xdr:col>10</xdr:col>
          <xdr:colOff>228600</xdr:colOff>
          <xdr:row>5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NPC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3</xdr:row>
          <xdr:rowOff>114300</xdr:rowOff>
        </xdr:from>
        <xdr:to>
          <xdr:col>10</xdr:col>
          <xdr:colOff>228600</xdr:colOff>
          <xdr:row>5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NPC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4</xdr:row>
          <xdr:rowOff>76200</xdr:rowOff>
        </xdr:from>
        <xdr:to>
          <xdr:col>13</xdr:col>
          <xdr:colOff>330200</xdr:colOff>
          <xdr:row>5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Druid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787400</xdr:colOff>
          <xdr:row>3</xdr:row>
          <xdr:rowOff>165100</xdr:rowOff>
        </xdr:from>
        <xdr:to>
          <xdr:col>13</xdr:col>
          <xdr:colOff>660400</xdr:colOff>
          <xdr:row>5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Elf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787400</xdr:colOff>
          <xdr:row>3</xdr:row>
          <xdr:rowOff>177800</xdr:rowOff>
        </xdr:from>
        <xdr:to>
          <xdr:col>14</xdr:col>
          <xdr:colOff>25400</xdr:colOff>
          <xdr:row>5</xdr:row>
          <xdr:rowOff>127000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MyriadPro-Light" charset="0"/>
                </a:rPr>
                <a:t>Create Random Bard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43BED1-4CA0-3046-BA1C-A8CCDCCE06BE}" name="NPC" displayName="NPC" ref="B1:Y33" totalsRowShown="0" headerRowDxfId="283" dataDxfId="282">
  <autoFilter ref="B1:Y33" xr:uid="{5743BED1-4CA0-3046-BA1C-A8CCDCCE06BE}"/>
  <tableColumns count="24">
    <tableColumn id="23" xr3:uid="{906993B8-A487-5049-8F29-D2E19F1F433E}" name="Race" dataDxfId="281"/>
    <tableColumn id="24" xr3:uid="{F2C602EC-E412-8444-9381-30B097B3B36C}" name="Age" dataDxfId="280"/>
    <tableColumn id="25" xr3:uid="{E11FE4E1-7AF9-E84A-B477-140AE2456CF3}" name="Gender" dataDxfId="279"/>
    <tableColumn id="1" xr3:uid="{E04AD972-9220-914F-8E06-9629FCA5C1B8}" name="Eyes" dataDxfId="278"/>
    <tableColumn id="2" xr3:uid="{78EA8A47-D6B6-9A4C-876E-B894F8A7F12B}" name="Ears" dataDxfId="277"/>
    <tableColumn id="3" xr3:uid="{CADD629F-0BEB-5B47-9B3E-4CF84830B9BA}" name="Mouth" dataDxfId="276"/>
    <tableColumn id="4" xr3:uid="{8DA14BE3-5685-7B4C-B829-9C0DB8420471}" name="Nose" dataDxfId="275"/>
    <tableColumn id="5" xr3:uid="{85CC30B2-D7B8-7649-B9F6-0A98D88ED394}" name="Jaw" dataDxfId="274"/>
    <tableColumn id="6" xr3:uid="{961C95D2-7E5A-A947-8A7D-5CBAEFC2D2DE}" name="Hair" dataDxfId="273"/>
    <tableColumn id="7" xr3:uid="{CC95A3F3-641B-E948-BC1D-66B4E4D017CA}" name="Face" dataDxfId="272"/>
    <tableColumn id="8" xr3:uid="{E2B4E62F-AF84-0C43-83C7-CB4AE37D9E99}" name="Height" dataDxfId="271"/>
    <tableColumn id="9" xr3:uid="{19FF7F16-A411-AE46-AB7E-81571E3614D0}" name="Body" dataDxfId="270"/>
    <tableColumn id="10" xr3:uid="{F2DF2CA5-4958-CF44-BAC7-92A4F25457FD}" name="Hands" dataDxfId="269"/>
    <tableColumn id="11" xr3:uid="{14D6FB6B-5731-E14C-9829-7385DC2B3F04}" name="Scar" dataDxfId="268"/>
    <tableColumn id="12" xr3:uid="{D111D837-547B-1442-8064-9021FEFAE02A}" name="Tattoos" dataDxfId="267"/>
    <tableColumn id="13" xr3:uid="{05C7820E-E5EE-9A42-B722-3FF2C64F0DDD}" name="Jewelry" dataDxfId="266"/>
    <tableColumn id="14" xr3:uid="{EE763CFF-6795-4541-A982-62E070EC3744}" name="Jewelry made of" dataDxfId="265"/>
    <tableColumn id="15" xr3:uid="{9F89B325-0413-0E4E-A8F7-79C0B9476936}" name="Clothes" dataDxfId="264"/>
    <tableColumn id="16" xr3:uid="{45D8F1CF-B55C-FC45-BA18-E455843ABDAF}" name="Calm trait" dataDxfId="263"/>
    <tableColumn id="17" xr3:uid="{CF65716E-4660-7143-8630-FBF64215A4CD}" name="Stress trait" dataDxfId="262"/>
    <tableColumn id="18" xr3:uid="{F502820E-A8AA-944F-B1AF-FC9AEECA9053}" name="Current mood" dataDxfId="261"/>
    <tableColumn id="20" xr3:uid="{68EDE1A9-6871-5348-A98B-F180B17520B2}" name="Faith" dataDxfId="260"/>
    <tableColumn id="21" xr3:uid="{5F1CEE42-ADFD-654D-B520-EB9BB3B00A92}" name="Prejudice" dataDxfId="259"/>
    <tableColumn id="22" xr3:uid="{5A9C9FE6-B08B-3841-BE51-DCE3B3B90B5F}" name="Flaws" dataDxfId="25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590088-D4EC-654B-9A54-155926E00494}" name="Druid" displayName="Druid" ref="B38:T58" totalsRowShown="0" headerRowDxfId="257" dataDxfId="256">
  <autoFilter ref="B38:T58" xr:uid="{73590088-D4EC-654B-9A54-155926E00494}"/>
  <tableColumns count="19">
    <tableColumn id="1" xr3:uid="{E33019F1-89CF-B048-93BB-68EA2AEBEE06}" name="Druid Background" dataDxfId="255"/>
    <tableColumn id="2" xr3:uid="{1AF379C2-1D01-D24E-B303-DCAEFCEA9AE2}" name="Druid Training" dataDxfId="254"/>
    <tableColumn id="3" xr3:uid="{3ECB9E4A-7ABC-FA40-9FEF-414C7CD3D11E}" name="Druid Eyes" dataDxfId="253"/>
    <tableColumn id="4" xr3:uid="{66F0B2ED-3CDB-164F-A7A9-4C4E44241AD1}" name="Druid Trait" dataDxfId="252"/>
    <tableColumn id="5" xr3:uid="{30897E78-FD0B-3C40-8708-4AD5E39C3009}" name="Druid Mannerism" dataDxfId="251"/>
    <tableColumn id="6" xr3:uid="{CCEC4446-AE54-EA4F-B664-303ED0C4EDEA}" name="Druid Special Wild Connection" dataDxfId="250"/>
    <tableColumn id="7" xr3:uid="{F2A282B5-2138-104B-B305-C23DF6791B6C}" name="Druid Weapon" dataDxfId="249"/>
    <tableColumn id="8" xr3:uid="{811A3D5E-09FE-DA41-8942-26B8E1DBE031}" name="Druidic Focus" dataDxfId="248"/>
    <tableColumn id="9" xr3:uid="{B6A212B3-2CA8-5749-92BE-D2B784372C3D}" name="Focus of Beasts" dataDxfId="247"/>
    <tableColumn id="10" xr3:uid="{8D373D8C-3CE0-E740-9A22-9B262D624928}" name="Focus of Plants" dataDxfId="246"/>
    <tableColumn id="11" xr3:uid="{28AE515D-D854-1A48-A5D4-E8C7C811BA44}" name="Druid Possessions" dataDxfId="245"/>
    <tableColumn id="12" xr3:uid="{4B6702FA-9575-334D-82B3-531E23D72471}" name="Druid Clothes" dataDxfId="244"/>
    <tableColumn id="13" xr3:uid="{ACB1E969-898C-314D-9830-F527E86ED15B}" name="Druid Goal" dataDxfId="243"/>
    <tableColumn id="14" xr3:uid="{F762072C-6D37-2C48-9CD1-D341439A89A7}" name="Druid Herb Remedy Purpose" dataDxfId="242"/>
    <tableColumn id="15" xr3:uid="{49E54CD8-4032-5F47-931B-15F20153EC00}" name="Druid Remedy Form" dataDxfId="241"/>
    <tableColumn id="16" xr3:uid="{D2A19650-C02B-384E-A541-5A114541499C}" name="Druid Remedy Color" dataDxfId="240"/>
    <tableColumn id="17" xr3:uid="{0464B384-EBB2-704A-B041-B1BC4FB95CBA}" name="Druid Remedy Ingredients" dataDxfId="239"/>
    <tableColumn id="18" xr3:uid="{6C10E5C0-8CE4-BE42-B84F-6A3A935544DE}" name="Druid Remedy Prep" dataDxfId="238"/>
    <tableColumn id="19" xr3:uid="{2A678081-0A01-4D46-AD61-FEE217D485E5}" name="Druid Remedy Application" dataDxfId="23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A9A980-A82C-164D-8958-EA6487929420}" name="Table3" displayName="Table3" ref="B64:T76" totalsRowShown="0" headerRowDxfId="236" dataDxfId="235">
  <autoFilter ref="B64:T76" xr:uid="{6BA9A980-A82C-164D-8958-EA6487929420}"/>
  <tableColumns count="19">
    <tableColumn id="1" xr3:uid="{9737FBAA-1B4D-6B42-B50B-B0B145244C65}" name="Elf Types" dataDxfId="234"/>
    <tableColumn id="2" xr3:uid="{C5D9AA80-83FA-A948-9E15-C8A1183F9DD0}" name="Vyalia Hair" dataDxfId="233"/>
    <tableColumn id="3" xr3:uid="{BC93AFAE-E1DA-6E40-BC41-2ACC20D40254}" name="Vyalia Eyes" dataDxfId="232"/>
    <tableColumn id="4" xr3:uid="{73A5A980-B500-3644-B473-6AECE3441C16}" name="Vyalia Mannerism" dataDxfId="231"/>
    <tableColumn id="5" xr3:uid="{F0BB411B-78BE-0747-A0C9-6F76C7B478E4}" name="Vyalia Profession" dataDxfId="230"/>
    <tableColumn id="6" xr3:uid="{5A2A703E-5D33-9F4B-8D99-E9A25D5A51C9}" name="Vyalia Goal" dataDxfId="229"/>
    <tableColumn id="7" xr3:uid="{718446E8-A5FC-B648-96C4-D45BCECB65B5}" name="Vyalia Possession" dataDxfId="228"/>
    <tableColumn id="8" xr3:uid="{F1EDC346-2C8F-DD40-BB0F-B14556B52BC1}" name="High Elf Hair" dataDxfId="227"/>
    <tableColumn id="9" xr3:uid="{8BB681B8-56FC-DD4D-AA83-F35F6D71C93A}" name="High Elf Eyes" dataDxfId="226"/>
    <tableColumn id="10" xr3:uid="{484DB9CC-65E3-B54C-A6F7-46B1224003A0}" name="High Elf Mannerism" dataDxfId="225"/>
    <tableColumn id="11" xr3:uid="{A2D225BF-7FE8-7148-BBF5-FAA9317DE903}" name="High Elf Profession" dataDxfId="224"/>
    <tableColumn id="12" xr3:uid="{1C04AA62-EC45-CB42-A031-BD42AADCFCA1}" name="High Elf Goal" dataDxfId="223"/>
    <tableColumn id="13" xr3:uid="{783031EA-10B1-0946-BD12-BB3073F841BD}" name="High Elf Possession" dataDxfId="222"/>
    <tableColumn id="14" xr3:uid="{D5A80623-5570-0745-A19F-A12005AA6105}" name="Callarii Elf Hair" dataDxfId="221"/>
    <tableColumn id="15" xr3:uid="{FE18A609-3B9A-6E47-BCEA-5F884DD464FD}" name="Callarii Elf Eyes" dataDxfId="220"/>
    <tableColumn id="16" xr3:uid="{3ACF713E-5CE3-9C42-AA11-8FEB3A6D9D19}" name="Callarii Elf Mannerism" dataDxfId="219"/>
    <tableColumn id="17" xr3:uid="{DA1C1DD4-0E37-A34D-932B-48B19B19DEDF}" name="Callarii Elf Profession" dataDxfId="218"/>
    <tableColumn id="18" xr3:uid="{F798060A-669C-5C4F-9C69-B7C71C062456}" name="Callarii Elf Goal" dataDxfId="217"/>
    <tableColumn id="19" xr3:uid="{BFB1C763-7A23-614D-A8E9-7B9CE29900AD}" name="Callarii Elf Possession" dataDxfId="21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4BF12C-05E2-2545-BA2C-4C3063240FDC}" name="Names" displayName="Names" ref="AA1:AE575" totalsRowShown="0" headerRowDxfId="215" dataDxfId="214">
  <autoFilter ref="AA1:AE575" xr:uid="{474BF12C-05E2-2545-BA2C-4C3063240FDC}"/>
  <tableColumns count="5">
    <tableColumn id="1" xr3:uid="{097A3468-48DB-5A4F-B06C-0D3FDD8F3460}" name="Male Names" dataDxfId="213"/>
    <tableColumn id="2" xr3:uid="{1D2F5D99-F289-DB4B-A87E-EA45844B893F}" name="Female Names" dataDxfId="212"/>
    <tableColumn id="3" xr3:uid="{03C79FB0-82D3-2C4B-9CC5-94D5E1255D5F}" name="Elf Male" dataDxfId="211"/>
    <tableColumn id="4" xr3:uid="{6F747B0C-4A7B-C74D-8AA3-E4D8E531314D}" name="Elf Female" dataDxfId="210"/>
    <tableColumn id="5" xr3:uid="{68731AA3-F4F6-404B-B05B-3885F5FB9A66}" name="Elf Clan" dataDxfId="20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A6928E-279B-C448-9870-F28CBC321724}" name="Bard" displayName="Bard" ref="B80:Q194" totalsRowShown="0" headerRowDxfId="208" dataDxfId="207">
  <autoFilter ref="B80:Q194" xr:uid="{55A6928E-279B-C448-9870-F28CBC321724}"/>
  <tableColumns count="16">
    <tableColumn id="1" xr3:uid="{C23ED502-8A0C-E143-85F6-585D1064FF4D}" name="Bard Background" dataDxfId="206"/>
    <tableColumn id="2" xr3:uid="{FF4B7086-A3C2-E442-9AFF-9F81D0759302}" name="Bard Instrument" dataDxfId="205"/>
    <tableColumn id="3" xr3:uid="{25A955A2-DB63-BD43-916C-0643FB1C01F1}" name="Bard Instrument history" dataDxfId="204"/>
    <tableColumn id="4" xr3:uid="{EFDC01A9-208F-D141-BF44-B717C073D91D}" name="Bard weapons and tricks" dataDxfId="203"/>
    <tableColumn id="5" xr3:uid="{B5BFB8B1-FB7D-134D-A070-FEEF1319D3B6}" name="Bard possession" dataDxfId="202"/>
    <tableColumn id="6" xr3:uid="{3DFDB12F-4BA6-8A4D-95E5-D0147223E2ED}" name="Bard clothes" dataDxfId="201"/>
    <tableColumn id="7" xr3:uid="{016EBEBA-B4CB-CF41-AF81-32424504E323}" name="Bard hat feather" dataDxfId="200"/>
    <tableColumn id="8" xr3:uid="{46A8269B-BD4B-BB40-9BF2-F8A7A4D02172}" name="Bard boot hide" dataDxfId="199"/>
    <tableColumn id="9" xr3:uid="{8B3D562A-5D07-2040-862D-D59478BFAE7E}" name="Bard coat hide" dataDxfId="198"/>
    <tableColumn id="10" xr3:uid="{1CA281B3-9BDD-C94F-BA3D-FC97D4DE7B4B}" name="Bard trait" dataDxfId="197"/>
    <tableColumn id="11" xr3:uid="{7CDF35C2-7955-5145-9575-893434A2C1C0}" name="Bard goal" dataDxfId="196"/>
    <tableColumn id="12" xr3:uid="{A1FB7D27-DBDF-4B4E-ACC0-F2796D5E146A}" name="Bard fans" dataDxfId="195"/>
    <tableColumn id="13" xr3:uid="{22A385C0-97D6-5741-BE28-880FAFA12A11}" name="Bard tale" dataDxfId="194"/>
    <tableColumn id="14" xr3:uid="{8623571D-1800-9148-A37C-2DDACA80F1C2}" name="Bard song" dataDxfId="193"/>
    <tableColumn id="15" xr3:uid="{7AD5BFC8-35B4-1449-AF66-F9770314F4C8}" name="Bard song popular" dataDxfId="192"/>
    <tableColumn id="16" xr3:uid="{3A976F9E-A180-1F43-9978-66FBD49AA7D6}" name="Bard sung at" dataDxfId="19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ED3A94-600A-834E-ABAB-923D3D6585F6}" name="npc_type_table" displayName="npc_type_table" ref="AG1:AG20" totalsRowShown="0" headerRowDxfId="190" dataDxfId="189">
  <autoFilter ref="AG1:AG20" xr:uid="{45ED3A94-600A-834E-ABAB-923D3D6585F6}"/>
  <tableColumns count="1">
    <tableColumn id="1" xr3:uid="{DAF44599-4E3C-4C49-84B3-4BC5629B4035}" name="NPC_Type" dataDxfId="18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7D6E62-840C-6C4C-B1BF-79C82675172A}" name="Lord_traits" displayName="Lord_traits" ref="AI2:AN8" totalsRowShown="0" headerRowDxfId="187" dataDxfId="186">
  <autoFilter ref="AI2:AN8" xr:uid="{C27D6E62-840C-6C4C-B1BF-79C82675172A}"/>
  <tableColumns count="6">
    <tableColumn id="1" xr3:uid="{29FF4CD9-EFAE-DF48-9E60-424DD850651D}" name="Background" dataDxfId="185"/>
    <tableColumn id="2" xr3:uid="{46F7A9FD-244D-1C4B-978E-0EAE79DE0771}" name="Possession" dataDxfId="184"/>
    <tableColumn id="3" xr3:uid="{AE8AC83E-5DB1-DA48-B464-A9FD0646338F}" name="Goal" dataDxfId="183"/>
    <tableColumn id="4" xr3:uid="{429C7CD0-20E7-6B40-B424-A6C13BF3CA7D}" name="Trait" dataDxfId="182"/>
    <tableColumn id="5" xr3:uid="{911898F6-95B3-9E44-808B-991F8032459D}" name="Knowledge" dataDxfId="181"/>
    <tableColumn id="6" xr3:uid="{BDFFC799-EC02-7641-B245-0DA4BCB0426C}" name="Note" dataDxfId="18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8C4F6C4-403E-0849-BD5D-2A925AF1E604}" name="Noblewoman_traits" displayName="Noblewoman_traits" ref="AI20:AN26" totalsRowShown="0" headerRowDxfId="172" dataDxfId="173">
  <autoFilter ref="AI20:AN26" xr:uid="{78C4F6C4-403E-0849-BD5D-2A925AF1E604}"/>
  <tableColumns count="6">
    <tableColumn id="1" xr3:uid="{4259381F-62D9-5D44-89A0-26C1C1E460D9}" name="Background" dataDxfId="179"/>
    <tableColumn id="2" xr3:uid="{7104A278-F030-D044-B5CC-697D75C925AE}" name="Possession" dataDxfId="178"/>
    <tableColumn id="3" xr3:uid="{A28125C6-C7C8-1D47-AE40-00EAEC9C0FD6}" name="Goal" dataDxfId="177"/>
    <tableColumn id="4" xr3:uid="{3DD366B1-776A-AA40-B336-1716D50FDA14}" name="Trait" dataDxfId="176"/>
    <tableColumn id="5" xr3:uid="{0EE159A1-4076-414D-9FD6-D1516B19482A}" name="Knowledge" dataDxfId="175"/>
    <tableColumn id="6" xr3:uid="{88941B4A-2DB6-3F42-83C7-79B35602C5B2}" name="Note" dataDxfId="17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CAAEAF-D72B-9B42-A663-B188D82DDA84}" name="Squire_traits" displayName="Squire_traits" ref="AI38:AN44" totalsRowShown="0" headerRowDxfId="165" dataDxfId="166">
  <autoFilter ref="AI38:AN44" xr:uid="{D6CAAEAF-D72B-9B42-A663-B188D82DDA84}"/>
  <tableColumns count="6">
    <tableColumn id="1" xr3:uid="{56AB5DC9-F8D1-AD49-8ED7-68FBCDA6CC09}" name="Background" dataDxfId="171"/>
    <tableColumn id="2" xr3:uid="{5FA44A38-8146-3E45-8A08-EDE3EA889949}" name="Possession" dataDxfId="170"/>
    <tableColumn id="3" xr3:uid="{C7537B1D-468B-FD4F-BE86-EB45D195EEDA}" name="Goal" dataDxfId="169"/>
    <tableColumn id="4" xr3:uid="{9545C9EF-74D2-4A48-9342-A4A3A304D8EF}" name="Trait" dataDxfId="164"/>
    <tableColumn id="5" xr3:uid="{738934EE-066A-E247-BB5E-E960630F67D3}" name="Knowledge" dataDxfId="168"/>
    <tableColumn id="6" xr3:uid="{1A54A50A-EB8B-8E43-B4E7-7DFD94A2E939}" name="Note" dataDxfId="167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EE2E9F-CD6E-FF4B-ABD9-1EF8313B3F2B}" name="Steward_traits" displayName="Steward_traits" ref="AI56:AN61" totalsRowShown="0" headerRowDxfId="56" dataDxfId="57" headerRowBorderDxfId="162" tableBorderDxfId="163">
  <autoFilter ref="AI56:AN61" xr:uid="{71EE2E9F-CD6E-FF4B-ABD9-1EF8313B3F2B}"/>
  <tableColumns count="6">
    <tableColumn id="1" xr3:uid="{A15D0BDF-C40A-0F47-AC53-87C82B4DB819}" name="Background" dataDxfId="63"/>
    <tableColumn id="2" xr3:uid="{C67AA3B8-B4E2-FA49-8443-0F85BF590214}" name="Possession" dataDxfId="62"/>
    <tableColumn id="3" xr3:uid="{9BA10F44-419D-6B49-840E-9902B6371095}" name="Goal" dataDxfId="61"/>
    <tableColumn id="4" xr3:uid="{38637E5E-CAF3-FE4F-9CF6-BDF670F2C93F}" name="Trait" dataDxfId="60"/>
    <tableColumn id="5" xr3:uid="{99C66FC1-0E4E-5542-918C-4EEBE0424796}" name="Knowledge" dataDxfId="59"/>
    <tableColumn id="6" xr3:uid="{15574C26-6D65-3144-969B-A350D6A875F8}" name="Note" dataDxfId="5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4D38FA-5040-D649-8D8D-93F13F335C06}" name="Guard_traits" displayName="Guard_traits" ref="AP2:AU8" totalsRowShown="0" headerRowDxfId="152" dataDxfId="153" headerRowBorderDxfId="160" tableBorderDxfId="161">
  <autoFilter ref="AP2:AU8" xr:uid="{324D38FA-5040-D649-8D8D-93F13F335C06}"/>
  <tableColumns count="6">
    <tableColumn id="1" xr3:uid="{B6613822-E9BE-4A44-9520-70CE683239BF}" name="Background" dataDxfId="159"/>
    <tableColumn id="2" xr3:uid="{DF53C93D-0F7F-364E-83C0-CF8D03F213CC}" name="Possession" dataDxfId="158"/>
    <tableColumn id="3" xr3:uid="{E965C9AC-9E31-AE4F-9D8E-4028C924AA0A}" name="Goal" dataDxfId="157"/>
    <tableColumn id="4" xr3:uid="{C12DC7BF-ADCD-3C48-8622-CB85EFFFB3ED}" name="Trait" dataDxfId="156"/>
    <tableColumn id="5" xr3:uid="{687856BB-9E55-B840-9CD5-EDCD541909FA}" name="Knowledge" dataDxfId="155"/>
    <tableColumn id="6" xr3:uid="{6749C065-18DF-FF46-8E8F-CB950EA956D7}" name="Note" dataDxfId="15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DAAC07D-8FA0-2046-AC4F-2E98B7FD147F}" name="Archer_traits" displayName="Archer_traits" ref="AP20:AU26" totalsRowShown="0" headerRowDxfId="24" dataDxfId="25" headerRowBorderDxfId="150" tableBorderDxfId="151">
  <autoFilter ref="AP20:AU26" xr:uid="{5DAAC07D-8FA0-2046-AC4F-2E98B7FD147F}"/>
  <tableColumns count="6">
    <tableColumn id="1" xr3:uid="{841BC5E2-FD46-534C-B5D5-CDA4932A0BF3}" name="Background" dataDxfId="31"/>
    <tableColumn id="2" xr3:uid="{3CCCD713-FDE9-294C-92CA-B7D89E341286}" name="Possession" dataDxfId="30"/>
    <tableColumn id="3" xr3:uid="{0E7EEB00-8FD7-5D49-A48F-80549269FFD7}" name="Goal" dataDxfId="29"/>
    <tableColumn id="4" xr3:uid="{37FC621F-B0DB-5C43-A849-760D71F387B1}" name="Trait" dataDxfId="28"/>
    <tableColumn id="5" xr3:uid="{14AAE2DF-38F2-A944-B421-2A93C6B50581}" name="Knowledge" dataDxfId="27"/>
    <tableColumn id="6" xr3:uid="{4621BD33-8ED8-474B-A065-7519BE616C81}" name="Note" dataDxfId="26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C9F1CEB-1970-684D-BC49-BAE0FBA64430}" name="Chaplain_traits" displayName="Chaplain_traits" ref="AP38:AU42" totalsRowShown="0" headerRowDxfId="32" dataDxfId="33" headerRowBorderDxfId="148" tableBorderDxfId="149">
  <autoFilter ref="AP38:AU42" xr:uid="{2C9F1CEB-1970-684D-BC49-BAE0FBA64430}"/>
  <tableColumns count="6">
    <tableColumn id="1" xr3:uid="{23ADF44B-0EF5-2D40-8FD9-A0DDE4AD8683}" name="Background" dataDxfId="39"/>
    <tableColumn id="2" xr3:uid="{79F75EA5-4DAD-9045-AD5F-3BFBD391BE7D}" name="Possession" dataDxfId="38"/>
    <tableColumn id="3" xr3:uid="{F1AD31DF-5E8D-7440-A898-198BB044E3C3}" name="Goal" dataDxfId="37"/>
    <tableColumn id="4" xr3:uid="{C0F8B6F8-B032-8C42-B161-D3125EE36C96}" name="Trait" dataDxfId="36"/>
    <tableColumn id="5" xr3:uid="{B222220F-D8FE-4642-9796-3FAD6F2DF48A}" name="Knowledge" dataDxfId="35"/>
    <tableColumn id="6" xr3:uid="{FC383E0D-7596-4B46-BC8E-E526B3524B90}" name="Note" dataDxfId="3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8177056-8218-8B4D-8727-4DC6A6375E7D}" name="Knight_traits" displayName="Knight_traits" ref="AP56:AU62" totalsRowShown="0" headerRowDxfId="40" dataDxfId="41" headerRowBorderDxfId="146" tableBorderDxfId="147">
  <autoFilter ref="AP56:AU62" xr:uid="{D8177056-8218-8B4D-8727-4DC6A6375E7D}"/>
  <tableColumns count="6">
    <tableColumn id="1" xr3:uid="{12E4940F-2780-3F47-95A0-716A941789F1}" name="Background" dataDxfId="47"/>
    <tableColumn id="2" xr3:uid="{D4DC6DFA-FD6C-694A-9058-C79111AC22AA}" name="Possession" dataDxfId="46"/>
    <tableColumn id="3" xr3:uid="{43BE332E-3A81-6842-810B-96CA49351F15}" name="Goal" dataDxfId="45"/>
    <tableColumn id="4" xr3:uid="{E8F33CED-479B-6547-BFF1-6B6B649312BD}" name="Trait" dataDxfId="44"/>
    <tableColumn id="5" xr3:uid="{33390108-A3FB-4A44-873F-EC136A5FF16B}" name="Knowledge" dataDxfId="43"/>
    <tableColumn id="6" xr3:uid="{8CCD6082-A352-CC40-94F6-1708F2E3B18D}" name="Note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BFEC20-7902-8F4E-AF2E-1BE1A130A5D2}" name="Cook_traits" displayName="Cook_traits" ref="AW2:BB8" totalsRowShown="0" headerRowDxfId="136" dataDxfId="137" headerRowBorderDxfId="144" tableBorderDxfId="145">
  <autoFilter ref="AW2:BB8" xr:uid="{A1BFEC20-7902-8F4E-AF2E-1BE1A130A5D2}"/>
  <tableColumns count="6">
    <tableColumn id="1" xr3:uid="{7465CE8D-D82C-1D47-B931-C886C266C38F}" name="Background" dataDxfId="143"/>
    <tableColumn id="2" xr3:uid="{3404F4C7-3538-674E-8F5E-98BA25CF0C42}" name="Possession" dataDxfId="142"/>
    <tableColumn id="3" xr3:uid="{17665431-3193-A841-B023-CCA7DA019CE0}" name="Goal" dataDxfId="141"/>
    <tableColumn id="4" xr3:uid="{D975164D-6EE8-A348-A844-B075145BD1CC}" name="Trait" dataDxfId="140"/>
    <tableColumn id="5" xr3:uid="{D89E575C-E090-0D44-8185-1A3B7552853B}" name="Knowledge" dataDxfId="139"/>
    <tableColumn id="6" xr3:uid="{929D2D30-C37B-6B4B-B97E-4E6EAB1A42BC}" name="Note" dataDxfId="138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828A50-4393-D344-871D-DF3926B3613B}" name="Armourer_traits" displayName="Armourer_traits" ref="AW20:BB26" totalsRowShown="0" headerRowDxfId="126" dataDxfId="127" headerRowBorderDxfId="134" tableBorderDxfId="135">
  <autoFilter ref="AW20:BB26" xr:uid="{26828A50-4393-D344-871D-DF3926B3613B}"/>
  <tableColumns count="6">
    <tableColumn id="1" xr3:uid="{A0B564CF-F1B8-844D-B0E0-A83392D3381D}" name="Background" dataDxfId="133"/>
    <tableColumn id="2" xr3:uid="{E35BE26D-465B-F54C-9BD7-51E82BFB4F95}" name="Possession" dataDxfId="132"/>
    <tableColumn id="3" xr3:uid="{6CECAA1B-9785-AC4E-B936-6FD6F0D3F000}" name="Goal" dataDxfId="131"/>
    <tableColumn id="4" xr3:uid="{0D665C71-DFAA-9E40-AE15-738CF07A2C17}" name="Trait" dataDxfId="130"/>
    <tableColumn id="5" xr3:uid="{0AA54D69-4A45-2F4F-A3E4-B91F062F74EE}" name="Knowledge" dataDxfId="129"/>
    <tableColumn id="6" xr3:uid="{9AB5FFC3-9D68-1A4A-9AAB-AC34D7CEE6D0}" name="Note" dataDxfId="128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536AC09-4DA9-2241-BF5D-34832809E782}" name="Fool_traits" displayName="Fool_traits" ref="AW38:BB46" totalsRowShown="0" headerRowDxfId="117" dataDxfId="118" headerRowBorderDxfId="124" tableBorderDxfId="125">
  <autoFilter ref="AW38:BB46" xr:uid="{D536AC09-4DA9-2241-BF5D-34832809E782}"/>
  <tableColumns count="6">
    <tableColumn id="1" xr3:uid="{E619A1D0-00B6-6D4E-9EED-DD1A6DA76F37}" name="Background" dataDxfId="123"/>
    <tableColumn id="2" xr3:uid="{34692E7D-AB69-9F47-A93B-ADE454CF7174}" name="Possession" dataDxfId="122"/>
    <tableColumn id="3" xr3:uid="{3A0BBCB2-54FA-8E4B-8C27-6EBCD2A0CB66}" name="Goal" dataDxfId="121"/>
    <tableColumn id="4" xr3:uid="{A7F9656C-1BA6-5840-AC4F-D734EF13EF64}" name="Trait" dataDxfId="120"/>
    <tableColumn id="5" xr3:uid="{B4E27F2C-9BBE-7E4F-892C-ECAC5A2BA554}" name="Knowledge" dataDxfId="119"/>
    <tableColumn id="6" xr3:uid="{733CD86B-F251-9443-B984-8688D5FEA7DD}" name="Note" dataDxfId="116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861075-4040-B24C-BC29-3B6016B2291F}" name="Tutor_Sage_traits" displayName="Tutor_Sage_traits" ref="AW56:BB68" totalsRowShown="0" headerRowDxfId="106" dataDxfId="107" headerRowBorderDxfId="114" tableBorderDxfId="115">
  <autoFilter ref="AW56:BB68" xr:uid="{D2861075-4040-B24C-BC29-3B6016B2291F}"/>
  <tableColumns count="6">
    <tableColumn id="1" xr3:uid="{3AADC452-2A94-3246-87F9-4F3183819DEA}" name="Background" dataDxfId="113"/>
    <tableColumn id="2" xr3:uid="{2D3BBB83-F30D-5443-A1F9-A3F704A20232}" name="Possession" dataDxfId="112"/>
    <tableColumn id="3" xr3:uid="{88956F6E-9A32-034C-9729-17E9B2BE9A4E}" name="Goal" dataDxfId="111"/>
    <tableColumn id="4" xr3:uid="{4F423568-5697-C34E-B200-75FE966ECEE1}" name="Trait" dataDxfId="110"/>
    <tableColumn id="5" xr3:uid="{9284A389-3EF1-BC44-B159-1CC70A319D4D}" name="Knowledge" dataDxfId="109"/>
    <tableColumn id="6" xr3:uid="{8766F31C-B12F-F54F-845B-37284A47E797}" name="Note" dataDxfId="108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77D4B14-A969-CD4B-B527-6F4F34EEDE77}" name="Maidservant_traits" displayName="Maidservant_traits" ref="BD2:BI8" totalsRowShown="0" headerRowDxfId="94" dataDxfId="95" headerRowBorderDxfId="104" tableBorderDxfId="105">
  <autoFilter ref="BD2:BI8" xr:uid="{177D4B14-A969-CD4B-B527-6F4F34EEDE77}"/>
  <tableColumns count="6">
    <tableColumn id="1" xr3:uid="{31382284-56E9-2248-BBA4-073617ED8773}" name="Background" dataDxfId="101"/>
    <tableColumn id="2" xr3:uid="{B5263390-6F20-3D41-BB8E-79BC5F6316E3}" name="Possession" dataDxfId="100"/>
    <tableColumn id="3" xr3:uid="{3124AA75-555F-7949-88B8-4DE6E6DF97CB}" name="Goal" dataDxfId="99"/>
    <tableColumn id="4" xr3:uid="{08899C87-B269-E845-BC97-534F9DCDFF0A}" name="Trait" dataDxfId="98"/>
    <tableColumn id="5" xr3:uid="{FA88F0FB-6813-D344-A7E0-07D34CC7BFE3}" name="Knowledge" dataDxfId="97"/>
    <tableColumn id="6" xr3:uid="{FEFB138C-0761-C84A-A325-52E13A6EA464}" name="Note" dataDxfId="96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CB543B2-CD45-2A42-99CD-0036EA1BC140}" name="Guard_Captain_traits" displayName="Guard_Captain_traits" ref="BD20:BI26" totalsRowShown="0" headerRowDxfId="86" dataDxfId="87" headerRowBorderDxfId="102" tableBorderDxfId="103">
  <autoFilter ref="BD20:BI26" xr:uid="{ACB543B2-CD45-2A42-99CD-0036EA1BC140}"/>
  <tableColumns count="6">
    <tableColumn id="1" xr3:uid="{5E2CDED0-987A-1040-991D-ECDFE33A4D8C}" name="Background" dataDxfId="93"/>
    <tableColumn id="2" xr3:uid="{8528256A-2B13-9C48-9E5C-B169950DB330}" name="Possession" dataDxfId="92"/>
    <tableColumn id="3" xr3:uid="{64D4E223-13C5-4B4A-AE6E-5124424AF234}" name="Goal" dataDxfId="91"/>
    <tableColumn id="4" xr3:uid="{B6E44A15-5193-CE48-A15E-2280E8848856}" name="Trait" dataDxfId="90"/>
    <tableColumn id="5" xr3:uid="{2697BB18-EDB9-D946-8AE1-AD021E831072}" name="Knowledge" dataDxfId="89"/>
    <tableColumn id="6" xr3:uid="{9CED5A76-6C1E-5645-813C-806918F51D7C}" name="Note" dataDxfId="88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CC25BC5-6845-0141-9412-51ABEE552C10}" name="Horsemaster_traits" displayName="Horsemaster_traits" ref="BD38:BI42" totalsRowShown="0" headerRowDxfId="76" dataDxfId="77" headerRowBorderDxfId="84" tableBorderDxfId="85">
  <autoFilter ref="BD38:BI42" xr:uid="{8CC25BC5-6845-0141-9412-51ABEE552C10}"/>
  <tableColumns count="6">
    <tableColumn id="1" xr3:uid="{82B6C782-29EA-EA45-8320-B089AF26E700}" name="Background" dataDxfId="83"/>
    <tableColumn id="2" xr3:uid="{A206BB0E-E57A-0642-ACED-628FE302F29B}" name="Possession" dataDxfId="82"/>
    <tableColumn id="3" xr3:uid="{4E6A18EE-8852-4941-B578-256E6D27DC1A}" name="Goal" dataDxfId="81"/>
    <tableColumn id="4" xr3:uid="{598B200A-B9B8-C248-964A-35A79A4E792D}" name="Trait" dataDxfId="80"/>
    <tableColumn id="5" xr3:uid="{B1A4F24E-3460-CC4C-AEBC-8EED302333B2}" name="Knowledge" dataDxfId="79"/>
    <tableColumn id="6" xr3:uid="{18B9D553-AD95-F044-90CA-61D46C833C55}" name="Note" dataDxfId="78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874DD1E-C0F8-4541-B747-8B935D874FE0}" name="Stablehand_traits" displayName="Stablehand_traits" ref="BD56:BI60" totalsRowShown="0" headerRowDxfId="66" dataDxfId="67" headerRowBorderDxfId="74" tableBorderDxfId="75">
  <autoFilter ref="BD56:BI60" xr:uid="{B874DD1E-C0F8-4541-B747-8B935D874FE0}"/>
  <tableColumns count="6">
    <tableColumn id="1" xr3:uid="{F58875F2-9811-0D47-9497-CAC91A10605D}" name="Background" dataDxfId="73"/>
    <tableColumn id="2" xr3:uid="{9402E770-194E-7A43-9E51-024758122F7A}" name="Possession" dataDxfId="72"/>
    <tableColumn id="3" xr3:uid="{04B585EE-9B40-FD4F-A477-EE04EA304A2D}" name="Goal" dataDxfId="71"/>
    <tableColumn id="4" xr3:uid="{A772DC89-7DDA-FB4C-8D3C-05FEE8B74437}" name="Trait" dataDxfId="70"/>
    <tableColumn id="5" xr3:uid="{D56B3C1F-966B-4D45-BE9F-C0EBA98DC3D4}" name="Knowledge" dataDxfId="69"/>
    <tableColumn id="6" xr3:uid="{A9792F22-71AB-FF42-B96D-F250024ECBC2}" name="Note" dataDxfId="68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96B958B-1C06-9647-8E51-02C69E580021}" name="Huntsman_traits" displayName="Huntsman_traits" ref="AI73:AN79" totalsRowShown="0" headerRowDxfId="48" dataDxfId="49" headerRowBorderDxfId="64" tableBorderDxfId="65">
  <autoFilter ref="AI73:AN79" xr:uid="{B96B958B-1C06-9647-8E51-02C69E580021}"/>
  <tableColumns count="6">
    <tableColumn id="1" xr3:uid="{35DDC9B2-2C65-5E42-AAEF-1F4D372EE069}" name="Background" dataDxfId="55"/>
    <tableColumn id="2" xr3:uid="{89165843-AD4C-8949-BC0B-05134CF37701}" name="Possession" dataDxfId="54"/>
    <tableColumn id="3" xr3:uid="{A3A82E29-8485-EB44-9CCE-0EF5DBDE0A1C}" name="Goal" dataDxfId="53"/>
    <tableColumn id="4" xr3:uid="{7D721F02-7756-3D4D-BBB7-13B642A4AEA3}" name="Trait" dataDxfId="52"/>
    <tableColumn id="5" xr3:uid="{9B0DB046-E685-B148-9988-55877D75E342}" name="Knowledge" dataDxfId="51"/>
    <tableColumn id="6" xr3:uid="{0144AA1B-8524-FB46-A908-EB16D3B99160}" name="Note" dataDxfId="50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ADB8E72-4959-124D-8C2F-244D8D591C12}" name="Kennelmaster_traits" displayName="Kennelmaster_traits" ref="AP73:AU77" totalsRowShown="0" headerRowDxfId="14" dataDxfId="15" headerRowBorderDxfId="22" tableBorderDxfId="23">
  <autoFilter ref="AP73:AU77" xr:uid="{DADB8E72-4959-124D-8C2F-244D8D591C12}"/>
  <tableColumns count="6">
    <tableColumn id="1" xr3:uid="{B426B5BA-4117-EA4C-A7FF-F36ECFF4AD55}" name="Background" dataDxfId="21"/>
    <tableColumn id="2" xr3:uid="{F8767A7A-53BE-B448-BBA2-2E7767E066DE}" name="Possession" dataDxfId="20"/>
    <tableColumn id="3" xr3:uid="{6089CD88-C130-2142-9337-9985B22778C5}" name="Goal" dataDxfId="19"/>
    <tableColumn id="4" xr3:uid="{D4EC9770-DF4F-B947-99EF-5DDFB1EE3271}" name="Trait" dataDxfId="18"/>
    <tableColumn id="5" xr3:uid="{4632493A-7843-D142-B1A5-33CE7C58B390}" name="Knowledge" dataDxfId="17"/>
    <tableColumn id="6" xr3:uid="{0EAC7645-6224-2146-AC44-12F331583EFF}" name="Note" dataDxfId="1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DD9B71-9E52-FB41-9476-78B80AB0E034}" name="Bowyer_Fletcher_traits" displayName="Bowyer_Fletcher_traits" ref="AW73:BB77" totalsRowShown="0" headerRowDxfId="4" dataDxfId="5" headerRowBorderDxfId="12" tableBorderDxfId="13">
  <autoFilter ref="AW73:BB77" xr:uid="{00DD9B71-9E52-FB41-9476-78B80AB0E034}"/>
  <tableColumns count="6">
    <tableColumn id="1" xr3:uid="{F2E2341C-CE7E-9948-8CCE-6AD41B7844AF}" name="Background" dataDxfId="11"/>
    <tableColumn id="2" xr3:uid="{768205FB-4867-9144-AE48-AD6DEAE74D94}" name="Possession" dataDxfId="10"/>
    <tableColumn id="3" xr3:uid="{A9F06413-E50B-8149-9CCF-1A4A45DB6201}" name="Goal" dataDxfId="9"/>
    <tableColumn id="4" xr3:uid="{A6EB9FCB-0CA9-594D-B501-3677E9227DAC}" name="Trait" dataDxfId="8"/>
    <tableColumn id="5" xr3:uid="{D0AA9928-46DD-2742-9720-C51B330D507D}" name="Knowledge" dataDxfId="7"/>
    <tableColumn id="6" xr3:uid="{0BF618DB-414F-7842-8677-19A46502EA7A}" name="Note" dataDxfId="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5F2CCA9-71E3-D84B-BAAA-A93571D8B520}" name="Plot_hook" displayName="Plot_hook" ref="BK2:BL1015" totalsRowShown="0" headerRowDxfId="0" dataDxfId="1">
  <autoFilter ref="BK2:BL1015" xr:uid="{65F2CCA9-71E3-D84B-BAAA-A93571D8B520}"/>
  <sortState xmlns:xlrd2="http://schemas.microsoft.com/office/spreadsheetml/2017/richdata2" ref="BK3:BL1015">
    <sortCondition ref="BK2:BK1015"/>
  </sortState>
  <tableColumns count="2">
    <tableColumn id="1" xr3:uid="{5F595DCD-E9B4-0149-9534-59CFCEC7E9D7}" name="Hook" dataDxfId="3"/>
    <tableColumn id="2" xr3:uid="{256F8D2F-3F91-3441-A8CD-9D665F74BE74}" name="Category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E6EE-F208-5445-BDB4-C3EE59B8E12D}">
  <sheetPr codeName="Sheet8">
    <tabColor theme="9" tint="0.59999389629810485"/>
  </sheetPr>
  <dimension ref="B1:N32"/>
  <sheetViews>
    <sheetView showGridLines="0" tabSelected="1" workbookViewId="0">
      <selection activeCell="J3" sqref="J3"/>
    </sheetView>
  </sheetViews>
  <sheetFormatPr baseColWidth="10" defaultRowHeight="16"/>
  <cols>
    <col min="1" max="2" width="4.1640625" customWidth="1"/>
    <col min="3" max="3" width="17.33203125" bestFit="1" customWidth="1"/>
    <col min="4" max="4" width="31.5" customWidth="1"/>
    <col min="5" max="5" width="4.1640625" customWidth="1"/>
    <col min="6" max="6" width="15.1640625" bestFit="1" customWidth="1"/>
    <col min="7" max="7" width="30" bestFit="1" customWidth="1"/>
    <col min="8" max="8" width="4.1640625" customWidth="1"/>
    <col min="9" max="9" width="13.5" bestFit="1" customWidth="1"/>
    <col min="10" max="10" width="66" bestFit="1" customWidth="1"/>
    <col min="11" max="11" width="4.1640625" customWidth="1"/>
  </cols>
  <sheetData>
    <row r="1" spans="2:14" ht="17" thickBot="1"/>
    <row r="2" spans="2:14" ht="25" customHeight="1">
      <c r="B2" s="4"/>
      <c r="C2" s="5"/>
      <c r="D2" s="5"/>
      <c r="E2" s="5"/>
      <c r="F2" s="5"/>
      <c r="G2" s="5"/>
      <c r="H2" s="5"/>
      <c r="I2" s="5"/>
      <c r="J2" s="5"/>
      <c r="K2" s="6"/>
    </row>
    <row r="3" spans="2:14" ht="22" thickBot="1">
      <c r="B3" s="7"/>
      <c r="C3" s="22" t="s">
        <v>351</v>
      </c>
      <c r="D3" s="21" t="str" cm="1">
        <f t="array" aca="1" ref="D3" ca="1">IF($D$8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</f>
        <v xml:space="preserve">Nina </v>
      </c>
      <c r="E3" s="14"/>
      <c r="F3" s="13"/>
      <c r="G3" s="13"/>
      <c r="H3" s="13"/>
      <c r="I3" s="22" t="s">
        <v>2662</v>
      </c>
      <c r="J3" s="21" t="s">
        <v>2672</v>
      </c>
      <c r="K3" s="8"/>
    </row>
    <row r="4" spans="2:14" ht="21">
      <c r="B4" s="7"/>
      <c r="C4" s="17"/>
      <c r="D4" s="14"/>
      <c r="E4" s="14"/>
      <c r="F4" s="13"/>
      <c r="G4" s="13"/>
      <c r="H4" s="13"/>
      <c r="I4" s="13"/>
      <c r="J4" s="13"/>
      <c r="K4" s="8"/>
    </row>
    <row r="5" spans="2:14" ht="22" thickBot="1">
      <c r="B5" s="7"/>
      <c r="C5" s="32" t="s">
        <v>347</v>
      </c>
      <c r="D5" s="32"/>
      <c r="E5" s="16"/>
      <c r="F5" s="32" t="s">
        <v>348</v>
      </c>
      <c r="G5" s="32"/>
      <c r="H5" s="16"/>
      <c r="I5" s="32" t="s">
        <v>3017</v>
      </c>
      <c r="J5" s="32"/>
      <c r="K5" s="8"/>
    </row>
    <row r="6" spans="2:14" ht="21">
      <c r="B6" s="7"/>
      <c r="C6" s="15" t="s">
        <v>333</v>
      </c>
      <c r="D6" s="13" t="str" cm="1">
        <f t="array" aca="1" ref="D6" ca="1">_xlfn.LET(_xlpm.array,_xlfn.TEXTSPLIT(_xlfn.TEXTJOIN(";",TRUE,Race),";"),INDEX(_xlpm.array,1,RANDBETWEEN(1,COLUMNS(_xlpm.array))))</f>
        <v>Gnome</v>
      </c>
      <c r="E6" s="13"/>
      <c r="F6" s="15" t="s">
        <v>243</v>
      </c>
      <c r="G6" s="13" t="str" cm="1">
        <f t="array" aca="1" ref="G6" ca="1">_xlfn.LET(_xlpm.array,_xlfn.TEXTSPLIT(_xlfn.TEXTJOIN(";",TRUE,Current_mood),";"),INDEX(_xlpm.array,1,RANDBETWEEN(1,COLUMNS(_xlpm.array))))</f>
        <v>Tired.</v>
      </c>
      <c r="H6" s="13"/>
      <c r="I6" s="15" t="s">
        <v>1029</v>
      </c>
      <c r="J6" s="13" t="str" cm="1">
        <f t="array" aca="1" ref="J6" ca="1">IFERROR(INDEX(INDIRECT(J3 &amp; "_traits[Background]"),_xlfn.AGGREGATE(15,6,(ROW(INDIRECT(J3 &amp; "_traits[Background]"))-MIN(ROW(INDIRECT(J3 &amp; "_traits[Background]")))+1)/(INDIRECT(J3 &amp; "_traits[Background]")&lt;&gt;""),RANDBETWEEN(1,COUNTIF(INDIRECT(J3 &amp; "_traits[Background]"),"&lt;&gt;")))),"No value")</f>
        <v>Her ladyship’s/her lordship’s favorite.</v>
      </c>
      <c r="K6" s="8"/>
    </row>
    <row r="7" spans="2:14" ht="21">
      <c r="B7" s="7"/>
      <c r="C7" s="15" t="s">
        <v>341</v>
      </c>
      <c r="D7" s="13" t="str" cm="1">
        <f t="array" aca="1" ref="D7" ca="1">_xlfn.LET(_xlpm.array,_xlfn.TEXTSPLIT(_xlfn.TEXTJOIN(";",TRUE,Age),";"),INDEX(_xlpm.array,1,RANDBETWEEN(1,COLUMNS(_xlpm.array))))</f>
        <v>Adult</v>
      </c>
      <c r="E7" s="13"/>
      <c r="F7" s="15" t="s">
        <v>264</v>
      </c>
      <c r="G7" s="13" t="str" cm="1">
        <f t="array" aca="1" ref="G7" ca="1">_xlfn.LET(_xlpm.array,_xlfn.TEXTSPLIT(_xlfn.TEXTJOIN(";",TRUE,Flaws),";"),INDEX(_xlpm.array,1,RANDBETWEEN(1,COLUMNS(_xlpm.array))))</f>
        <v>Sweats profusely and easily.</v>
      </c>
      <c r="H7" s="13"/>
      <c r="I7" s="15" t="s">
        <v>1021</v>
      </c>
      <c r="J7" s="13" t="str" cm="1">
        <f t="array" aca="1" ref="J7" ca="1">IFERROR(INDEX(INDIRECT(J3 &amp; "_traits[Trait]"),_xlfn.AGGREGATE(15,6,(ROW(INDIRECT(J3 &amp; "_traits[Trait]"))-MIN(ROW(INDIRECT(J3 &amp; "_traits[Trait]")))+1)/(INDIRECT(J3 &amp; "_traits[Trait]")&lt;&gt;""),RANDBETWEEN(1,COUNTIF(INDIRECT(J3 &amp; "_traits[Trait]"),"&lt;&gt;")))),"No value")</f>
        <v xml:space="preserve">A wicked smile, and a sharp wit. </v>
      </c>
      <c r="K7" s="8"/>
    </row>
    <row r="8" spans="2:14" ht="21">
      <c r="B8" s="7"/>
      <c r="C8" s="15" t="s">
        <v>352</v>
      </c>
      <c r="D8" s="13" t="str" cm="1">
        <f t="array" aca="1" ref="D8" ca="1">IF(J3="Lord","Male",IF(J3="Noblewoman","Female",_xlfn.LET(_xlpm.array,_xlfn.TEXTSPLIT(_xlfn.TEXTJOIN(";",TRUE,Gender),";"),INDEX(_xlpm.array,1,RANDBETWEEN(1,COLUMNS(_xlpm.array))))))</f>
        <v>Female</v>
      </c>
      <c r="E8" s="13"/>
      <c r="F8" s="15" t="s">
        <v>349</v>
      </c>
      <c r="G8" s="13" t="str" cm="1">
        <f t="array" aca="1" ref="G8" ca="1">_xlfn.LET(_xlpm.array,_xlfn.TEXTSPLIT(_xlfn.TEXTJOIN(";",TRUE,Calm_trait),";"),INDEX(_xlpm.array,1,RANDBETWEEN(1,COLUMNS(_xlpm.array))))</f>
        <v>Boastful</v>
      </c>
      <c r="H8" s="13"/>
      <c r="I8" s="15" t="s">
        <v>1187</v>
      </c>
      <c r="J8" s="13" t="str" cm="1">
        <f t="array" aca="1" ref="J8" ca="1">IFERROR(INDEX(INDIRECT(J3 &amp; "_traits[Possession]"),_xlfn.AGGREGATE(15,6,(ROW(INDIRECT(J3 &amp; "_traits[Possession]"))-MIN(ROW(INDIRECT(J3 &amp; "_traits[Possession]")))+1)/(INDIRECT(J3 &amp; "_traits[Possession]")&lt;&gt;""),RANDBETWEEN(1,COUNTIF(INDIRECT(J3 &amp; "_traits[Possession]"),"&lt;&gt;")))),"No value")</f>
        <v>No value</v>
      </c>
      <c r="K8" s="8"/>
      <c r="N8" s="3"/>
    </row>
    <row r="9" spans="2:14" ht="21">
      <c r="B9" s="7"/>
      <c r="C9" s="15" t="s">
        <v>104</v>
      </c>
      <c r="D9" s="13" t="str" cm="1">
        <f t="array" aca="1" ref="D9" ca="1">_xlfn.LET(_xlpm.array,_xlfn.TEXTSPLIT(_xlfn.TEXTJOIN(";",TRUE,Body),";"),INDEX(_xlpm.array,1,RANDBETWEEN(1,COLUMNS(_xlpm.array))))</f>
        <v>Lean and lanky.</v>
      </c>
      <c r="E9" s="13"/>
      <c r="F9" s="15" t="s">
        <v>350</v>
      </c>
      <c r="G9" s="13" t="str" cm="1">
        <f t="array" aca="1" ref="G9" ca="1">_xlfn.LET(_xlpm.array,_xlfn.TEXTSPLIT(_xlfn.TEXTJOIN(";",TRUE,Stress_trait),";"),INDEX(_xlpm.array,1,RANDBETWEEN(1,COLUMNS(_xlpm.array))))</f>
        <v>Gluttonous</v>
      </c>
      <c r="H9" s="13"/>
      <c r="I9" s="15" t="s">
        <v>2952</v>
      </c>
      <c r="J9" s="13" t="str" cm="1">
        <f t="array" aca="1" ref="J9" ca="1">IFERROR(INDEX(INDIRECT(J3 &amp; "_traits[Knowledge]"),_xlfn.AGGREGATE(15,6,(ROW(INDIRECT(J3 &amp; "_traits[Knowledge]"))-MIN(ROW(INDIRECT(J3 &amp; "_traits[Knowledge]")))+1)/(INDIRECT(J3 &amp; "_traits[Knowledge]")&lt;&gt;""),RANDBETWEEN(1,COUNTIF(INDIRECT(J3 &amp; "_traits[Knowledge]"),"&lt;&gt;")))),"No value")</f>
        <v>No value</v>
      </c>
      <c r="K9" s="8"/>
    </row>
    <row r="10" spans="2:14" ht="21">
      <c r="B10" s="7"/>
      <c r="C10" s="15" t="s">
        <v>67</v>
      </c>
      <c r="D10" s="13" t="str" cm="1">
        <f t="array" aca="1" ref="D10" ca="1">_xlfn.LET(_xlpm.array,_xlfn.TEXTSPLIT(_xlfn.TEXTJOIN(";",TRUE,Hair),";"),INDEX(_xlpm.array,1,RANDBETWEEN(1,COLUMNS(_xlpm.array))))</f>
        <v>No hair at all.</v>
      </c>
      <c r="E10" s="13"/>
      <c r="F10" s="15" t="s">
        <v>294</v>
      </c>
      <c r="G10" s="13" t="str" cm="1">
        <f t="array" aca="1" ref="G10" ca="1">_xlfn.LET(_xlpm.array,_xlfn.TEXTSPLIT(_xlfn.TEXTJOIN(";",TRUE,Prejudice),";"),INDEX(_xlpm.array,1,RANDBETWEEN(1,COLUMNS(_xlpm.array))))</f>
        <v>Children</v>
      </c>
      <c r="H10" s="13"/>
      <c r="I10" s="15" t="s">
        <v>1028</v>
      </c>
      <c r="J10" s="13" t="str" cm="1">
        <f t="array" aca="1" ref="J10" ca="1">IFERROR(INDEX(INDIRECT(J3 &amp; "_traits[Goal]"),_xlfn.AGGREGATE(15,6,(ROW(INDIRECT(J3 &amp; "_traits[Goal]"))-MIN(ROW(INDIRECT(J3 &amp; "_traits[Goal]")))+1)/(INDIRECT(J3 &amp; "_traits[Goal]")&lt;&gt;""),RANDBETWEEN(1,COUNTIF(INDIRECT(J3 &amp; "_traits[Goal]"),"&lt;&gt;")))),"No value")</f>
        <v>Avoid being alone with a particular noble.</v>
      </c>
      <c r="K10" s="8"/>
    </row>
    <row r="11" spans="2:14" ht="21">
      <c r="B11" s="7"/>
      <c r="C11" s="15" t="s">
        <v>97</v>
      </c>
      <c r="D11" s="13" t="str" cm="1">
        <f t="array" aca="1" ref="D11" ca="1">_xlfn.LET(_xlpm.array,_xlfn.TEXTSPLIT(_xlfn.TEXTJOIN(";",TRUE,Height),";"),INDEX(_xlpm.array,1,RANDBETWEEN(1,COLUMNS(_xlpm.array))))</f>
        <v>Average height.</v>
      </c>
      <c r="E11" s="13"/>
      <c r="F11" s="15" t="s">
        <v>285</v>
      </c>
      <c r="G11" s="13" t="str" cm="1">
        <f t="array" aca="1" ref="G11" ca="1">_xlfn.LET(_xlpm.array,_xlfn.TEXTSPLIT(_xlfn.TEXTJOIN(";",TRUE,Faith),";"),INDEX(_xlpm.array,1,RANDBETWEEN(1,COLUMNS(_xlpm.array))))</f>
        <v>Quiet true believer.</v>
      </c>
      <c r="H11" s="13"/>
      <c r="I11" s="15" t="s">
        <v>2954</v>
      </c>
      <c r="J11" s="44" t="str" cm="1">
        <f t="array" aca="1" ref="J11" ca="1">IFERROR(INDEX(INDIRECT(J3 &amp; "_traits[Note]"),_xlfn.AGGREGATE(15,6,(ROW(INDIRECT(J3 &amp; "_traits[Note]"))-MIN(ROW(INDIRECT(J3 &amp; "_traits[Note]")))+1)/(INDIRECT(J3 &amp; "_traits[Note]")&lt;&gt;""),RANDBETWEEN(1,COUNTIF(INDIRECT(J3 &amp; "_traits[Note]"),"&lt;&gt;")))),"No value")</f>
        <v>No value</v>
      </c>
      <c r="K11" s="8"/>
    </row>
    <row r="12" spans="2:14" ht="21">
      <c r="B12" s="7"/>
      <c r="C12" s="15" t="s">
        <v>171</v>
      </c>
      <c r="D12" s="13" t="str" cm="1">
        <f t="array" aca="1" ref="D12" ca="1">_xlfn.LET(_xlpm.array,_xlfn.TEXTSPLIT(_xlfn.TEXTJOIN(";",TRUE,Clothes),";"),INDEX(_xlpm.array,1,RANDBETWEEN(1,COLUMNS(_xlpm.array))))</f>
        <v>Torn in places</v>
      </c>
      <c r="E12" s="13"/>
      <c r="F12" s="13"/>
      <c r="G12" s="13"/>
      <c r="H12" s="13"/>
      <c r="I12" s="13"/>
      <c r="J12" s="44"/>
      <c r="K12" s="8"/>
    </row>
    <row r="13" spans="2:14" ht="22" thickBot="1">
      <c r="B13" s="7"/>
      <c r="C13" s="15" t="s">
        <v>88</v>
      </c>
      <c r="D13" s="13" t="str" cm="1">
        <f t="array" aca="1" ref="D13" ca="1">_xlfn.LET(_xlpm.array,_xlfn.TEXTSPLIT(_xlfn.TEXTJOIN(";",TRUE,Face),";"),INDEX(_xlpm.array,1,RANDBETWEEN(1,COLUMNS(_xlpm.array))))</f>
        <v>An unpleasant pustule.</v>
      </c>
      <c r="E13" s="13"/>
      <c r="F13" s="32" t="s">
        <v>777</v>
      </c>
      <c r="G13" s="32"/>
      <c r="H13" s="16"/>
      <c r="I13" s="16"/>
      <c r="J13" s="44"/>
      <c r="K13" s="8"/>
    </row>
    <row r="14" spans="2:14" ht="21">
      <c r="B14" s="7"/>
      <c r="C14" s="15" t="s">
        <v>58</v>
      </c>
      <c r="D14" s="13" t="str" cm="1">
        <f t="array" aca="1" ref="D14" ca="1">_xlfn.LET(_xlpm.array,_xlfn.TEXTSPLIT(_xlfn.TEXTJOIN(";",TRUE,Jaw),";"),INDEX(_xlpm.array,1,RANDBETWEEN(1,COLUMNS(_xlpm.array))))</f>
        <v>Normal</v>
      </c>
      <c r="E14" s="13"/>
      <c r="F14" s="33"/>
      <c r="G14" s="34"/>
      <c r="H14" s="31"/>
      <c r="I14" s="31"/>
      <c r="J14" s="31"/>
      <c r="K14" s="8"/>
    </row>
    <row r="15" spans="2:14" ht="21">
      <c r="B15" s="7"/>
      <c r="C15" s="15" t="s">
        <v>45</v>
      </c>
      <c r="D15" s="13" t="str" cm="1">
        <f t="array" aca="1" ref="D15" ca="1">_xlfn.LET(_xlpm.array,_xlfn.TEXTSPLIT(_xlfn.TEXTJOIN(";",TRUE,Nose),";"),INDEX(_xlpm.array,1,RANDBETWEEN(1,COLUMNS(_xlpm.array))))</f>
        <v>Normal</v>
      </c>
      <c r="E15" s="13"/>
      <c r="F15" s="35"/>
      <c r="G15" s="36"/>
      <c r="H15" s="31"/>
      <c r="I15" s="31"/>
      <c r="J15" s="31"/>
      <c r="K15" s="8"/>
    </row>
    <row r="16" spans="2:14" ht="21">
      <c r="B16" s="7"/>
      <c r="C16" s="15" t="s">
        <v>34</v>
      </c>
      <c r="D16" s="13" t="str" cm="1">
        <f t="array" aca="1" ref="D16" ca="1">_xlfn.LET(_xlpm.array,_xlfn.TEXTSPLIT(_xlfn.TEXTJOIN(";",TRUE,Mouth),";"),INDEX(_xlpm.array,1,RANDBETWEEN(1,COLUMNS(_xlpm.array))))</f>
        <v>Normal</v>
      </c>
      <c r="E16" s="13"/>
      <c r="F16" s="35"/>
      <c r="G16" s="36"/>
      <c r="H16" s="31"/>
      <c r="I16" s="31"/>
      <c r="J16" s="31"/>
      <c r="K16" s="8"/>
    </row>
    <row r="17" spans="2:14" ht="21">
      <c r="B17" s="7"/>
      <c r="C17" s="15" t="s">
        <v>0</v>
      </c>
      <c r="D17" s="13" t="str" cm="1">
        <f t="array" aca="1" ref="D17" ca="1">_xlfn.LET(_xlpm.array,_xlfn.TEXTSPLIT(_xlfn.TEXTJOIN(";",TRUE,Eyes),";"),INDEX(_xlpm.array,1,RANDBETWEEN(1,COLUMNS(_xlpm.array))))</f>
        <v>Close-set eyes.</v>
      </c>
      <c r="E17" s="13"/>
      <c r="F17" s="35"/>
      <c r="G17" s="36"/>
      <c r="H17" s="31"/>
      <c r="I17" s="31"/>
      <c r="J17" s="31"/>
      <c r="K17" s="8"/>
    </row>
    <row r="18" spans="2:14" ht="21">
      <c r="B18" s="7"/>
      <c r="C18" s="15" t="s">
        <v>21</v>
      </c>
      <c r="D18" s="13" t="str" cm="1">
        <f t="array" aca="1" ref="D18" ca="1">_xlfn.LET(_xlpm.array,_xlfn.TEXTSPLIT(_xlfn.TEXTJOIN(";",TRUE,Ears),";"),INDEX(_xlpm.array,1,RANDBETWEEN(1,COLUMNS(_xlpm.array))))</f>
        <v>Normal</v>
      </c>
      <c r="E18" s="13"/>
      <c r="F18" s="35"/>
      <c r="G18" s="36"/>
      <c r="H18" s="31"/>
      <c r="I18" s="31"/>
      <c r="J18" s="31"/>
      <c r="K18" s="8"/>
      <c r="N18" s="3"/>
    </row>
    <row r="19" spans="2:14" ht="22" customHeight="1" thickBot="1">
      <c r="B19" s="7"/>
      <c r="C19" s="15" t="s">
        <v>125</v>
      </c>
      <c r="D19" s="13" t="str" cm="1">
        <f t="array" aca="1" ref="D19" ca="1">_xlfn.LET(_xlpm.array,_xlfn.TEXTSPLIT(_xlfn.TEXTJOIN(";",TRUE,Hands),";"),INDEX(_xlpm.array,1,RANDBETWEEN(1,COLUMNS(_xlpm.array))))</f>
        <v>Rough hands.</v>
      </c>
      <c r="E19" s="13"/>
      <c r="F19" s="35"/>
      <c r="G19" s="36"/>
      <c r="H19" s="31"/>
      <c r="I19" s="32" t="s">
        <v>4038</v>
      </c>
      <c r="J19" s="32"/>
      <c r="K19" s="8"/>
    </row>
    <row r="20" spans="2:14" ht="21">
      <c r="B20" s="7"/>
      <c r="C20" s="15" t="s">
        <v>132</v>
      </c>
      <c r="D20" s="13" t="str" cm="1">
        <f t="array" aca="1" ref="D20" ca="1">_xlfn.LET(_xlpm.array,_xlfn.TEXTSPLIT(_xlfn.TEXTJOIN(";",TRUE,Scar),";"),INDEX(_xlpm.array,1,RANDBETWEEN(1,COLUMNS(_xlpm.array))))</f>
        <v>No visible scars</v>
      </c>
      <c r="E20" s="13"/>
      <c r="F20" s="35"/>
      <c r="G20" s="36"/>
      <c r="H20" s="31"/>
      <c r="I20" s="40" t="str">
        <f ca="1">D3&amp;" "&amp;'Random NPC Source Data'!BP3</f>
        <v>Nina  has learned of the existence of a shrine to the archdevil Belial</v>
      </c>
      <c r="J20" s="41"/>
      <c r="K20" s="8"/>
    </row>
    <row r="21" spans="2:14" ht="21">
      <c r="B21" s="7"/>
      <c r="C21" s="15" t="s">
        <v>137</v>
      </c>
      <c r="D21" s="13" t="str" cm="1">
        <f t="array" aca="1" ref="D21" ca="1">_xlfn.LET(_xlpm.array,_xlfn.TEXTSPLIT(_xlfn.TEXTJOIN(";",TRUE,Tattoos),";"),INDEX(_xlpm.array,1,RANDBETWEEN(1,COLUMNS(_xlpm.array))))</f>
        <v>A snake tattoo.</v>
      </c>
      <c r="E21" s="13"/>
      <c r="F21" s="35"/>
      <c r="G21" s="36"/>
      <c r="H21" s="31"/>
      <c r="I21" s="35"/>
      <c r="J21" s="36"/>
      <c r="K21" s="8"/>
    </row>
    <row r="22" spans="2:14" ht="21">
      <c r="B22" s="7"/>
      <c r="C22" s="15" t="s">
        <v>150</v>
      </c>
      <c r="D22" s="13" t="str" cm="1">
        <f t="array" aca="1" ref="D22" ca="1">_xlfn.LET(_xlpm.array,_xlfn.TEXTSPLIT(_xlfn.TEXTJOIN(";",TRUE,Jewelry),";"),INDEX(_xlpm.array,1,RANDBETWEEN(1,COLUMNS(_xlpm.array))))</f>
        <v>A tight choker about the neck.</v>
      </c>
      <c r="E22" s="13"/>
      <c r="F22" s="35"/>
      <c r="G22" s="36"/>
      <c r="H22" s="31"/>
      <c r="I22" s="35"/>
      <c r="J22" s="36"/>
      <c r="K22" s="8"/>
    </row>
    <row r="23" spans="2:14" ht="21">
      <c r="B23" s="7"/>
      <c r="C23" s="15" t="s">
        <v>163</v>
      </c>
      <c r="D23" s="13" t="str" cm="1">
        <f t="array" aca="1" ref="D23" ca="1">_xlfn.LET(_xlpm.array,_xlfn.TEXTSPLIT(_xlfn.TEXTJOIN(";",TRUE,Jewelry_made_of),";"),INDEX(_xlpm.array,1,RANDBETWEEN(1,COLUMNS(_xlpm.array))))</f>
        <v>Copper.</v>
      </c>
      <c r="E23" s="13"/>
      <c r="F23" s="37"/>
      <c r="G23" s="38"/>
      <c r="H23" s="31"/>
      <c r="I23" s="37"/>
      <c r="J23" s="38"/>
      <c r="K23" s="8"/>
    </row>
    <row r="24" spans="2:14" ht="25" customHeight="1" thickBot="1">
      <c r="B24" s="9"/>
      <c r="C24" s="10"/>
      <c r="D24" s="10"/>
      <c r="E24" s="10"/>
      <c r="F24" s="10"/>
      <c r="G24" s="10"/>
      <c r="H24" s="10"/>
      <c r="I24" s="10"/>
      <c r="J24" s="10"/>
      <c r="K24" s="11"/>
    </row>
    <row r="31" spans="2:14">
      <c r="B31" s="3"/>
    </row>
    <row r="32" spans="2:14">
      <c r="B32" s="3"/>
    </row>
  </sheetData>
  <mergeCells count="8">
    <mergeCell ref="C5:D5"/>
    <mergeCell ref="F5:G5"/>
    <mergeCell ref="F13:G13"/>
    <mergeCell ref="F14:G23"/>
    <mergeCell ref="I5:J5"/>
    <mergeCell ref="J11:J13"/>
    <mergeCell ref="I20:J23"/>
    <mergeCell ref="I19:J19"/>
  </mergeCells>
  <dataValidations count="1">
    <dataValidation type="list" allowBlank="1" showInputMessage="1" showErrorMessage="1" sqref="J3" xr:uid="{745333F5-6FEF-144B-9F35-4CD4AA68CAD3}">
      <formula1>INDIRECT("npc_type_table[NPC_Type]")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Calc_Sheet">
                <anchor moveWithCells="1" sizeWithCells="1">
                  <from>
                    <xdr:col>11</xdr:col>
                    <xdr:colOff>647700</xdr:colOff>
                    <xdr:row>2</xdr:row>
                    <xdr:rowOff>25400</xdr:rowOff>
                  </from>
                  <to>
                    <xdr:col>13</xdr:col>
                    <xdr:colOff>736600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A1637-2874-A84B-9E25-E191713401F7}">
  <sheetPr codeName="Sheet2">
    <tabColor theme="9" tint="0.59999389629810485"/>
  </sheetPr>
  <dimension ref="B1:K23"/>
  <sheetViews>
    <sheetView showGridLines="0" workbookViewId="0">
      <selection activeCell="G6" sqref="G6"/>
    </sheetView>
  </sheetViews>
  <sheetFormatPr baseColWidth="10" defaultRowHeight="16"/>
  <cols>
    <col min="2" max="2" width="4.1640625" customWidth="1"/>
    <col min="3" max="3" width="17.33203125" bestFit="1" customWidth="1"/>
    <col min="4" max="4" width="31.5" customWidth="1"/>
    <col min="5" max="5" width="4.1640625" customWidth="1"/>
    <col min="6" max="6" width="15.1640625" bestFit="1" customWidth="1"/>
    <col min="7" max="7" width="30" bestFit="1" customWidth="1"/>
    <col min="8" max="8" width="4.1640625" customWidth="1"/>
  </cols>
  <sheetData>
    <row r="1" spans="2:8" ht="17" thickBot="1"/>
    <row r="2" spans="2:8" ht="25" customHeight="1">
      <c r="B2" s="4"/>
      <c r="C2" s="5"/>
      <c r="D2" s="5"/>
      <c r="E2" s="5"/>
      <c r="F2" s="5"/>
      <c r="G2" s="5"/>
      <c r="H2" s="6"/>
    </row>
    <row r="3" spans="2:8" ht="21">
      <c r="B3" s="7"/>
      <c r="C3" s="17" t="s">
        <v>351</v>
      </c>
      <c r="D3" s="14" t="str" cm="1">
        <f t="array" aca="1" ref="D3" ca="1">IF($D$7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</f>
        <v>Žarko</v>
      </c>
      <c r="E3" s="14"/>
      <c r="F3" s="13"/>
      <c r="G3" s="13"/>
      <c r="H3" s="8"/>
    </row>
    <row r="4" spans="2:8" ht="22" thickBot="1">
      <c r="B4" s="7"/>
      <c r="C4" s="32" t="s">
        <v>347</v>
      </c>
      <c r="D4" s="32"/>
      <c r="E4" s="16"/>
      <c r="F4" s="32" t="s">
        <v>348</v>
      </c>
      <c r="G4" s="32"/>
      <c r="H4" s="8"/>
    </row>
    <row r="5" spans="2:8" ht="21">
      <c r="B5" s="7"/>
      <c r="C5" s="15" t="s">
        <v>333</v>
      </c>
      <c r="D5" s="13" t="str" cm="1">
        <f t="array" aca="1" ref="D5" ca="1">_xlfn.LET(_xlpm.array,_xlfn.TEXTSPLIT(_xlfn.TEXTJOIN(";",TRUE,Race),";"),INDEX(_xlpm.array,1,RANDBETWEEN(1,COLUMNS(_xlpm.array))))</f>
        <v>Human</v>
      </c>
      <c r="E5" s="13"/>
      <c r="F5" s="15" t="s">
        <v>243</v>
      </c>
      <c r="G5" s="13" t="str" cm="1">
        <f t="array" aca="1" ref="G5" ca="1">_xlfn.LET(_xlpm.array,_xlfn.TEXTSPLIT(_xlfn.TEXTJOIN(";",TRUE,Current_mood),";"),INDEX(_xlpm.array,1,RANDBETWEEN(1,COLUMNS(_xlpm.array))))</f>
        <v>Bored.</v>
      </c>
      <c r="H5" s="8"/>
    </row>
    <row r="6" spans="2:8" ht="21">
      <c r="B6" s="7"/>
      <c r="C6" s="15" t="s">
        <v>341</v>
      </c>
      <c r="D6" s="13" t="str" cm="1">
        <f t="array" aca="1" ref="D6" ca="1">_xlfn.LET(_xlpm.array,_xlfn.TEXTSPLIT(_xlfn.TEXTJOIN(";",TRUE,Age),";"),INDEX(_xlpm.array,1,RANDBETWEEN(1,COLUMNS(_xlpm.array))))</f>
        <v>Young adult</v>
      </c>
      <c r="E6" s="13"/>
      <c r="F6" s="15" t="s">
        <v>264</v>
      </c>
      <c r="G6" s="13" t="str" cm="1">
        <f t="array" aca="1" ref="G6" ca="1">_xlfn.LET(_xlpm.array,_xlfn.TEXTSPLIT(_xlfn.TEXTJOIN(";",TRUE,Flaws),";"),INDEX(_xlpm.array,1,RANDBETWEEN(1,COLUMNS(_xlpm.array))))</f>
        <v>Is a habitual liar.</v>
      </c>
      <c r="H6" s="8"/>
    </row>
    <row r="7" spans="2:8" ht="21">
      <c r="B7" s="7"/>
      <c r="C7" s="15" t="s">
        <v>352</v>
      </c>
      <c r="D7" s="13" t="str" cm="1">
        <f t="array" aca="1" ref="D7" ca="1">_xlfn.LET(_xlpm.array,_xlfn.TEXTSPLIT(_xlfn.TEXTJOIN(";",TRUE,Gender),";"),INDEX(_xlpm.array,1,RANDBETWEEN(1,COLUMNS(_xlpm.array))))</f>
        <v>Male</v>
      </c>
      <c r="E7" s="13"/>
      <c r="F7" s="15" t="s">
        <v>349</v>
      </c>
      <c r="G7" s="13" t="str" cm="1">
        <f t="array" aca="1" ref="G7" ca="1">_xlfn.LET(_xlpm.array,_xlfn.TEXTSPLIT(_xlfn.TEXTJOIN(";",TRUE,Calm_trait),";"),INDEX(_xlpm.array,1,RANDBETWEEN(1,COLUMNS(_xlpm.array))))</f>
        <v>Outspoken</v>
      </c>
      <c r="H7" s="8"/>
    </row>
    <row r="8" spans="2:8" ht="21">
      <c r="B8" s="7"/>
      <c r="C8" s="15" t="s">
        <v>104</v>
      </c>
      <c r="D8" s="13" t="str" cm="1">
        <f t="array" aca="1" ref="D8" ca="1">_xlfn.LET(_xlpm.array,_xlfn.TEXTSPLIT(_xlfn.TEXTJOIN(";",TRUE,Body),";"),INDEX(_xlpm.array,1,RANDBETWEEN(1,COLUMNS(_xlpm.array))))</f>
        <v>Thin and petite.</v>
      </c>
      <c r="E8" s="13"/>
      <c r="F8" s="15" t="s">
        <v>350</v>
      </c>
      <c r="G8" s="13" t="str" cm="1">
        <f t="array" aca="1" ref="G8" ca="1">_xlfn.LET(_xlpm.array,_xlfn.TEXTSPLIT(_xlfn.TEXTJOIN(";",TRUE,Stress_trait),";"),INDEX(_xlpm.array,1,RANDBETWEEN(1,COLUMNS(_xlpm.array))))</f>
        <v>Gluttonous</v>
      </c>
      <c r="H8" s="8"/>
    </row>
    <row r="9" spans="2:8" ht="21">
      <c r="B9" s="7"/>
      <c r="C9" s="15" t="s">
        <v>67</v>
      </c>
      <c r="D9" s="13" t="str" cm="1">
        <f t="array" aca="1" ref="D9" ca="1">_xlfn.LET(_xlpm.array,_xlfn.TEXTSPLIT(_xlfn.TEXTJOIN(";",TRUE,Hair),";"),INDEX(_xlpm.array,1,RANDBETWEEN(1,COLUMNS(_xlpm.array))))</f>
        <v>Short-cropped hair.</v>
      </c>
      <c r="E9" s="13"/>
      <c r="F9" s="15" t="s">
        <v>294</v>
      </c>
      <c r="G9" s="13" t="str" cm="1">
        <f t="array" aca="1" ref="G9" ca="1">_xlfn.LET(_xlpm.array,_xlfn.TEXTSPLIT(_xlfn.TEXTJOIN(";",TRUE,Prejudice),";"),INDEX(_xlpm.array,1,RANDBETWEEN(1,COLUMNS(_xlpm.array))))</f>
        <v>Powerful rich</v>
      </c>
      <c r="H9" s="8"/>
    </row>
    <row r="10" spans="2:8" ht="21">
      <c r="B10" s="7"/>
      <c r="C10" s="15" t="s">
        <v>97</v>
      </c>
      <c r="D10" s="13" t="str" cm="1">
        <f t="array" aca="1" ref="D10" ca="1">_xlfn.LET(_xlpm.array,_xlfn.TEXTSPLIT(_xlfn.TEXTJOIN(";",TRUE,Height),";"),INDEX(_xlpm.array,1,RANDBETWEEN(1,COLUMNS(_xlpm.array))))</f>
        <v>Unusually short.</v>
      </c>
      <c r="E10" s="13"/>
      <c r="F10" s="15" t="s">
        <v>285</v>
      </c>
      <c r="G10" s="13" t="str" cm="1">
        <f t="array" aca="1" ref="G10" ca="1">_xlfn.LET(_xlpm.array,_xlfn.TEXTSPLIT(_xlfn.TEXTJOIN(";",TRUE,Faith),";"),INDEX(_xlpm.array,1,RANDBETWEEN(1,COLUMNS(_xlpm.array))))</f>
        <v>Critical student.</v>
      </c>
      <c r="H10" s="8"/>
    </row>
    <row r="11" spans="2:8" ht="21">
      <c r="B11" s="7"/>
      <c r="C11" s="15" t="s">
        <v>171</v>
      </c>
      <c r="D11" s="13" t="str" cm="1">
        <f t="array" aca="1" ref="D11" ca="1">_xlfn.LET(_xlpm.array,_xlfn.TEXTSPLIT(_xlfn.TEXTJOIN(";",TRUE,Clothes),";"),INDEX(_xlpm.array,1,RANDBETWEEN(1,COLUMNS(_xlpm.array))))</f>
        <v>Faded, but in good condition.</v>
      </c>
      <c r="E11" s="13"/>
      <c r="F11" s="13"/>
      <c r="G11" s="13"/>
      <c r="H11" s="8"/>
    </row>
    <row r="12" spans="2:8" ht="22" thickBot="1">
      <c r="B12" s="7"/>
      <c r="C12" s="15" t="s">
        <v>88</v>
      </c>
      <c r="D12" s="13" t="str" cm="1">
        <f t="array" aca="1" ref="D12" ca="1">_xlfn.LET(_xlpm.array,_xlfn.TEXTSPLIT(_xlfn.TEXTJOIN(";",TRUE,Face),";"),INDEX(_xlpm.array,1,RANDBETWEEN(1,COLUMNS(_xlpm.array))))</f>
        <v>Tight, drawn cheeks.</v>
      </c>
      <c r="E12" s="13"/>
      <c r="F12" s="32" t="s">
        <v>777</v>
      </c>
      <c r="G12" s="32"/>
      <c r="H12" s="8"/>
    </row>
    <row r="13" spans="2:8" ht="21">
      <c r="B13" s="7"/>
      <c r="C13" s="15" t="s">
        <v>58</v>
      </c>
      <c r="D13" s="13" t="str" cm="1">
        <f t="array" aca="1" ref="D13" ca="1">_xlfn.LET(_xlpm.array,_xlfn.TEXTSPLIT(_xlfn.TEXTJOIN(";",TRUE,Jaw),";"),INDEX(_xlpm.array,1,RANDBETWEEN(1,COLUMNS(_xlpm.array))))</f>
        <v>A square jaw.</v>
      </c>
      <c r="E13" s="13"/>
      <c r="F13" s="33"/>
      <c r="G13" s="34"/>
      <c r="H13" s="8"/>
    </row>
    <row r="14" spans="2:8" ht="21">
      <c r="B14" s="7"/>
      <c r="C14" s="15" t="s">
        <v>45</v>
      </c>
      <c r="D14" s="13" t="str" cm="1">
        <f t="array" aca="1" ref="D14" ca="1">_xlfn.LET(_xlpm.array,_xlfn.TEXTSPLIT(_xlfn.TEXTJOIN(";",TRUE,Nose),";"),INDEX(_xlpm.array,1,RANDBETWEEN(1,COLUMNS(_xlpm.array))))</f>
        <v>Normal</v>
      </c>
      <c r="E14" s="13"/>
      <c r="F14" s="35"/>
      <c r="G14" s="36"/>
      <c r="H14" s="8"/>
    </row>
    <row r="15" spans="2:8" ht="21">
      <c r="B15" s="7"/>
      <c r="C15" s="15" t="s">
        <v>34</v>
      </c>
      <c r="D15" s="13" t="str" cm="1">
        <f t="array" aca="1" ref="D15" ca="1">_xlfn.LET(_xlpm.array,_xlfn.TEXTSPLIT(_xlfn.TEXTJOIN(";",TRUE,Mouth),";"),INDEX(_xlpm.array,1,RANDBETWEEN(1,COLUMNS(_xlpm.array))))</f>
        <v>Normal</v>
      </c>
      <c r="E15" s="13"/>
      <c r="F15" s="35"/>
      <c r="G15" s="36"/>
      <c r="H15" s="8"/>
    </row>
    <row r="16" spans="2:8" ht="21">
      <c r="B16" s="7"/>
      <c r="C16" s="15" t="s">
        <v>0</v>
      </c>
      <c r="D16" s="13" t="str" cm="1">
        <f t="array" aca="1" ref="D16" ca="1">_xlfn.LET(_xlpm.array,_xlfn.TEXTSPLIT(_xlfn.TEXTJOIN(";",TRUE,Eyes),";"),INDEX(_xlpm.array,1,RANDBETWEEN(1,COLUMNS(_xlpm.array))))</f>
        <v>Hooded eyes.</v>
      </c>
      <c r="E16" s="13"/>
      <c r="F16" s="35"/>
      <c r="G16" s="36"/>
      <c r="H16" s="8"/>
    </row>
    <row r="17" spans="2:11" ht="21">
      <c r="B17" s="7"/>
      <c r="C17" s="15" t="s">
        <v>21</v>
      </c>
      <c r="D17" s="13" t="str" cm="1">
        <f t="array" aca="1" ref="D17" ca="1">_xlfn.LET(_xlpm.array,_xlfn.TEXTSPLIT(_xlfn.TEXTJOIN(";",TRUE,Ears),";"),INDEX(_xlpm.array,1,RANDBETWEEN(1,COLUMNS(_xlpm.array))))</f>
        <v>Jug-handle ears.</v>
      </c>
      <c r="E17" s="13"/>
      <c r="F17" s="35"/>
      <c r="G17" s="36"/>
      <c r="H17" s="8"/>
      <c r="K17" s="3"/>
    </row>
    <row r="18" spans="2:11" ht="21">
      <c r="B18" s="7"/>
      <c r="C18" s="15" t="s">
        <v>125</v>
      </c>
      <c r="D18" s="13" t="str" cm="1">
        <f t="array" aca="1" ref="D18" ca="1">_xlfn.LET(_xlpm.array,_xlfn.TEXTSPLIT(_xlfn.TEXTJOIN(";",TRUE,Hands),";"),INDEX(_xlpm.array,1,RANDBETWEEN(1,COLUMNS(_xlpm.array))))</f>
        <v>Regular hands</v>
      </c>
      <c r="E18" s="13"/>
      <c r="F18" s="35"/>
      <c r="G18" s="36"/>
      <c r="H18" s="8"/>
    </row>
    <row r="19" spans="2:11" ht="21">
      <c r="B19" s="7"/>
      <c r="C19" s="15" t="s">
        <v>132</v>
      </c>
      <c r="D19" s="13" t="str" cm="1">
        <f t="array" aca="1" ref="D19" ca="1">_xlfn.LET(_xlpm.array,_xlfn.TEXTSPLIT(_xlfn.TEXTJOIN(";",TRUE,Scar),";"),INDEX(_xlpm.array,1,RANDBETWEEN(1,COLUMNS(_xlpm.array))))</f>
        <v>No visible scars</v>
      </c>
      <c r="E19" s="13"/>
      <c r="F19" s="35"/>
      <c r="G19" s="36"/>
      <c r="H19" s="8"/>
    </row>
    <row r="20" spans="2:11" ht="21">
      <c r="B20" s="7"/>
      <c r="C20" s="15" t="s">
        <v>137</v>
      </c>
      <c r="D20" s="13" t="str" cm="1">
        <f t="array" aca="1" ref="D20" ca="1">_xlfn.LET(_xlpm.array,_xlfn.TEXTSPLIT(_xlfn.TEXTJOIN(";",TRUE,Tattoos),";"),INDEX(_xlpm.array,1,RANDBETWEEN(1,COLUMNS(_xlpm.array))))</f>
        <v>A snake tattoo.</v>
      </c>
      <c r="E20" s="13"/>
      <c r="F20" s="35"/>
      <c r="G20" s="36"/>
      <c r="H20" s="8"/>
    </row>
    <row r="21" spans="2:11" ht="21">
      <c r="B21" s="7"/>
      <c r="C21" s="15" t="s">
        <v>150</v>
      </c>
      <c r="D21" s="13" t="str" cm="1">
        <f t="array" aca="1" ref="D21" ca="1">_xlfn.LET(_xlpm.array,_xlfn.TEXTSPLIT(_xlfn.TEXTJOIN(";",TRUE,Jewelry),";"),INDEX(_xlpm.array,1,RANDBETWEEN(1,COLUMNS(_xlpm.array))))</f>
        <v>No visible jewlery</v>
      </c>
      <c r="E21" s="13"/>
      <c r="F21" s="35"/>
      <c r="G21" s="36"/>
      <c r="H21" s="8"/>
    </row>
    <row r="22" spans="2:11" ht="21">
      <c r="B22" s="7"/>
      <c r="C22" s="15" t="s">
        <v>163</v>
      </c>
      <c r="D22" s="13" t="str" cm="1">
        <f t="array" aca="1" ref="D22" ca="1">_xlfn.LET(_xlpm.array,_xlfn.TEXTSPLIT(_xlfn.TEXTJOIN(";",TRUE,Jewelry_made_of),";"),INDEX(_xlpm.array,1,RANDBETWEEN(1,COLUMNS(_xlpm.array))))</f>
        <v>Steel.</v>
      </c>
      <c r="E22" s="13"/>
      <c r="F22" s="37"/>
      <c r="G22" s="38"/>
      <c r="H22" s="8"/>
    </row>
    <row r="23" spans="2:11" ht="25" customHeight="1" thickBot="1">
      <c r="B23" s="9"/>
      <c r="C23" s="10"/>
      <c r="D23" s="10"/>
      <c r="E23" s="10"/>
      <c r="F23" s="10"/>
      <c r="G23" s="10"/>
      <c r="H23" s="11"/>
    </row>
  </sheetData>
  <mergeCells count="4">
    <mergeCell ref="C4:D4"/>
    <mergeCell ref="F4:G4"/>
    <mergeCell ref="F12:G12"/>
    <mergeCell ref="F13:G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_Sheet">
                <anchor moveWithCells="1" sizeWithCells="1">
                  <from>
                    <xdr:col>8</xdr:col>
                    <xdr:colOff>139700</xdr:colOff>
                    <xdr:row>3</xdr:row>
                    <xdr:rowOff>88900</xdr:rowOff>
                  </from>
                  <to>
                    <xdr:col>10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alc_Sheet">
                <anchor moveWithCells="1" sizeWithCells="1">
                  <from>
                    <xdr:col>8</xdr:col>
                    <xdr:colOff>139700</xdr:colOff>
                    <xdr:row>3</xdr:row>
                    <xdr:rowOff>114300</xdr:rowOff>
                  </from>
                  <to>
                    <xdr:col>10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DDA3-DA16-2144-871A-8352B3F9CF4E}">
  <sheetPr codeName="Sheet5">
    <tabColor theme="9" tint="0.59999389629810485"/>
  </sheetPr>
  <dimension ref="B3:W33"/>
  <sheetViews>
    <sheetView showGridLines="0" workbookViewId="0">
      <selection activeCell="D6" sqref="D6"/>
    </sheetView>
  </sheetViews>
  <sheetFormatPr baseColWidth="10" defaultRowHeight="16"/>
  <cols>
    <col min="2" max="2" width="4.1640625" customWidth="1"/>
    <col min="3" max="3" width="13.5" bestFit="1" customWidth="1"/>
    <col min="4" max="4" width="43" bestFit="1" customWidth="1"/>
    <col min="5" max="5" width="4.1640625" customWidth="1"/>
    <col min="6" max="6" width="16.83203125" bestFit="1" customWidth="1"/>
    <col min="7" max="7" width="39" bestFit="1" customWidth="1"/>
    <col min="8" max="8" width="4.1640625" customWidth="1"/>
    <col min="9" max="9" width="23.5" bestFit="1" customWidth="1"/>
    <col min="10" max="10" width="75.1640625" bestFit="1" customWidth="1"/>
    <col min="11" max="11" width="4.1640625" customWidth="1"/>
  </cols>
  <sheetData>
    <row r="3" spans="2:11" ht="17" thickBot="1"/>
    <row r="4" spans="2:11" ht="25" customHeight="1">
      <c r="B4" s="4"/>
      <c r="C4" s="5"/>
      <c r="D4" s="5"/>
      <c r="E4" s="5"/>
      <c r="F4" s="5"/>
      <c r="G4" s="5"/>
      <c r="H4" s="5"/>
      <c r="I4" s="5"/>
      <c r="J4" s="5"/>
      <c r="K4" s="6"/>
    </row>
    <row r="5" spans="2:11" ht="21">
      <c r="B5" s="7"/>
      <c r="C5" s="12" t="s">
        <v>1012</v>
      </c>
      <c r="D5" s="14" t="str" cm="1">
        <f t="array" aca="1" ref="D5" ca="1">IF($D$10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</f>
        <v>Predrag</v>
      </c>
      <c r="E5" s="13"/>
      <c r="F5" s="13"/>
      <c r="G5" s="13"/>
      <c r="H5" s="13"/>
      <c r="I5" s="13"/>
      <c r="J5" s="13"/>
      <c r="K5" s="8"/>
    </row>
    <row r="6" spans="2:11" ht="21">
      <c r="B6" s="7"/>
      <c r="C6" s="13"/>
      <c r="D6" s="13"/>
      <c r="E6" s="13"/>
      <c r="F6" s="13"/>
      <c r="G6" s="13"/>
      <c r="H6" s="13"/>
      <c r="I6" s="13"/>
      <c r="J6" s="13"/>
      <c r="K6" s="8"/>
    </row>
    <row r="7" spans="2:11" ht="22" thickBot="1">
      <c r="B7" s="7"/>
      <c r="C7" s="32" t="s">
        <v>347</v>
      </c>
      <c r="D7" s="32"/>
      <c r="E7" s="13"/>
      <c r="F7" s="32" t="s">
        <v>1013</v>
      </c>
      <c r="G7" s="32"/>
      <c r="H7" s="13"/>
      <c r="I7" s="32" t="s">
        <v>1014</v>
      </c>
      <c r="J7" s="32"/>
      <c r="K7" s="8"/>
    </row>
    <row r="8" spans="2:11" ht="21">
      <c r="B8" s="7"/>
      <c r="C8" s="15" t="s">
        <v>333</v>
      </c>
      <c r="D8" s="13" t="str" cm="1">
        <f t="array" aca="1" ref="D8" ca="1">_xlfn.LET(_xlpm.array,_xlfn.TEXTSPLIT(_xlfn.TEXTJOIN(";",TRUE,Race),";"),INDEX(_xlpm.array,1,RANDBETWEEN(1,COLUMNS(_xlpm.array))))</f>
        <v>Human</v>
      </c>
      <c r="E8" s="13"/>
      <c r="F8" s="15" t="s">
        <v>1019</v>
      </c>
      <c r="G8" s="13" t="str" cm="1">
        <f t="array" aca="1" ref="G8" ca="1">_xlfn.LET(_xlpm.array,_xlfn.TEXTSPLIT(_xlfn.TEXTJOIN(";",TRUE,Druid_Mannerism),";"),INDEX(_xlpm.array,1,RANDBETWEEN(1,COLUMNS(_xlpm.array))))</f>
        <v>Stares suspiciously like a cat. </v>
      </c>
      <c r="H8" s="13"/>
      <c r="I8" s="15" t="s">
        <v>1029</v>
      </c>
      <c r="J8" s="13" t="str" cm="1">
        <f t="array" aca="1" ref="J8" ca="1">_xlfn.LET(_xlpm.array,_xlfn.TEXTSPLIT(_xlfn.TEXTJOIN(";",TRUE,Druid_Background),";"),INDEX(_xlpm.array,1,RANDBETWEEN(1,COLUMNS(_xlpm.array))))</f>
        <v>A rebellious noble.</v>
      </c>
      <c r="K8" s="8"/>
    </row>
    <row r="9" spans="2:11" ht="21">
      <c r="B9" s="7"/>
      <c r="C9" s="15" t="s">
        <v>341</v>
      </c>
      <c r="D9" s="13" t="str" cm="1">
        <f t="array" aca="1" ref="D9" ca="1">_xlfn.LET(_xlpm.array,_xlfn.TEXTSPLIT(_xlfn.TEXTJOIN(";",TRUE,Age),";"),INDEX(_xlpm.array,1,RANDBETWEEN(1,COLUMNS(_xlpm.array))))</f>
        <v>Middle aged</v>
      </c>
      <c r="E9" s="13"/>
      <c r="F9" s="15" t="s">
        <v>243</v>
      </c>
      <c r="G9" s="13" t="str" cm="1">
        <f t="array" aca="1" ref="G9" ca="1">_xlfn.LET(_xlpm.array,_xlfn.TEXTSPLIT(_xlfn.TEXTJOIN(";",TRUE,Current_mood),";"),INDEX(_xlpm.array,1,RANDBETWEEN(1,COLUMNS(_xlpm.array))))</f>
        <v>Gloomy.</v>
      </c>
      <c r="H9" s="13"/>
      <c r="I9" s="15" t="s">
        <v>1030</v>
      </c>
      <c r="J9" s="13" t="str" cm="1">
        <f t="array" aca="1" ref="J9" ca="1">_xlfn.LET(_xlpm.array,_xlfn.TEXTSPLIT(_xlfn.TEXTJOIN(";",TRUE,Druid_Training),";"),INDEX(_xlpm.array,1,RANDBETWEEN(1,COLUMNS(_xlpm.array))))</f>
        <v>Conversing with primal spirits. </v>
      </c>
      <c r="K9" s="8"/>
    </row>
    <row r="10" spans="2:11" ht="21">
      <c r="B10" s="7"/>
      <c r="C10" s="15" t="s">
        <v>352</v>
      </c>
      <c r="D10" s="13" t="str" cm="1">
        <f t="array" aca="1" ref="D10" ca="1">_xlfn.LET(_xlpm.array,_xlfn.TEXTSPLIT(_xlfn.TEXTJOIN(";",TRUE,Gender),";"),INDEX(_xlpm.array,1,RANDBETWEEN(1,COLUMNS(_xlpm.array))))</f>
        <v>Male</v>
      </c>
      <c r="E10" s="13"/>
      <c r="F10" s="15" t="s">
        <v>264</v>
      </c>
      <c r="G10" s="13" t="str" cm="1">
        <f t="array" aca="1" ref="G10" ca="1">_xlfn.LET(_xlpm.array,_xlfn.TEXTSPLIT(_xlfn.TEXTJOIN(";",TRUE,Flaws),";"),INDEX(_xlpm.array,1,RANDBETWEEN(1,COLUMNS(_xlpm.array))))</f>
        <v>Fidgets.</v>
      </c>
      <c r="H10" s="13"/>
      <c r="I10" s="15" t="s">
        <v>1031</v>
      </c>
      <c r="J10" s="13" t="str" cm="1">
        <f t="array" aca="1" ref="J10" ca="1">_xlfn.LET(_xlpm.array,_xlfn.TEXTSPLIT(_xlfn.TEXTJOIN(";",TRUE,Druid_Special_Wild_Connection),";"),INDEX(_xlpm.array,1,RANDBETWEEN(1,COLUMNS(_xlpm.array))))</f>
        <v>Hurricanes and tides. </v>
      </c>
      <c r="K10" s="8"/>
    </row>
    <row r="11" spans="2:11" ht="21">
      <c r="B11" s="7"/>
      <c r="C11" s="15" t="s">
        <v>104</v>
      </c>
      <c r="D11" s="13" t="str" cm="1">
        <f t="array" aca="1" ref="D11" ca="1">_xlfn.LET(_xlpm.array,_xlfn.TEXTSPLIT(_xlfn.TEXTJOIN(";",TRUE,Body),";"),INDEX(_xlpm.array,1,RANDBETWEEN(1,COLUMNS(_xlpm.array))))</f>
        <v>Pudgy.</v>
      </c>
      <c r="E11" s="13"/>
      <c r="F11" s="15" t="s">
        <v>349</v>
      </c>
      <c r="G11" s="13" t="str" cm="1">
        <f t="array" aca="1" ref="G11" ca="1">_xlfn.LET(_xlpm.array,_xlfn.TEXTSPLIT(_xlfn.TEXTJOIN(";",TRUE,Calm_trait),";"),INDEX(_xlpm.array,1,RANDBETWEEN(1,COLUMNS(_xlpm.array))))</f>
        <v>Outspoken</v>
      </c>
      <c r="H11" s="13"/>
      <c r="I11" s="15" t="s">
        <v>1028</v>
      </c>
      <c r="J11" s="13" t="str" cm="1">
        <f t="array" aca="1" ref="J11" ca="1">_xlfn.LET(_xlpm.array,_xlfn.TEXTSPLIT(_xlfn.TEXTJOIN(";",TRUE,Druid_goal),";"),INDEX(_xlpm.array,1,RANDBETWEEN(1,COLUMNS(_xlpm.array))))</f>
        <v>Stop the spread of mining or grazing.</v>
      </c>
      <c r="K11" s="8"/>
    </row>
    <row r="12" spans="2:11" ht="21">
      <c r="B12" s="7"/>
      <c r="C12" s="15" t="s">
        <v>67</v>
      </c>
      <c r="D12" s="13" t="str" cm="1">
        <f t="array" aca="1" ref="D12" ca="1">_xlfn.LET(_xlpm.array,_xlfn.TEXTSPLIT(_xlfn.TEXTJOIN(";",TRUE,Hair),";"),INDEX(_xlpm.array,1,RANDBETWEEN(1,COLUMNS(_xlpm.array))))</f>
        <v>An outdated hairstyle.</v>
      </c>
      <c r="E12" s="13"/>
      <c r="F12" s="15" t="s">
        <v>350</v>
      </c>
      <c r="G12" s="13" t="str" cm="1">
        <f t="array" aca="1" ref="G12" ca="1">_xlfn.LET(_xlpm.array,_xlfn.TEXTSPLIT(_xlfn.TEXTJOIN(";",TRUE,Stress_trait),";"),INDEX(_xlpm.array,1,RANDBETWEEN(1,COLUMNS(_xlpm.array))))</f>
        <v>Destructive</v>
      </c>
      <c r="H12" s="13"/>
      <c r="I12" s="13"/>
      <c r="J12" s="13"/>
      <c r="K12" s="8"/>
    </row>
    <row r="13" spans="2:11" ht="21">
      <c r="B13" s="7"/>
      <c r="C13" s="15" t="s">
        <v>97</v>
      </c>
      <c r="D13" s="13" t="str" cm="1">
        <f t="array" aca="1" ref="D13" ca="1">_xlfn.LET(_xlpm.array,_xlfn.TEXTSPLIT(_xlfn.TEXTJOIN(";",TRUE,Height),";"),INDEX(_xlpm.array,1,RANDBETWEEN(1,COLUMNS(_xlpm.array))))</f>
        <v>Average height.</v>
      </c>
      <c r="E13" s="13"/>
      <c r="F13" s="15" t="s">
        <v>294</v>
      </c>
      <c r="G13" s="13" t="str" cm="1">
        <f t="array" aca="1" ref="G13" ca="1">_xlfn.LET(_xlpm.array,_xlfn.TEXTSPLIT(_xlfn.TEXTJOIN(";",TRUE,Prejudice),";"),INDEX(_xlpm.array,1,RANDBETWEEN(1,COLUMNS(_xlpm.array))))</f>
        <v>Elves</v>
      </c>
      <c r="H13" s="13"/>
      <c r="I13" s="13"/>
      <c r="J13" s="13"/>
      <c r="K13" s="8"/>
    </row>
    <row r="14" spans="2:11" ht="21">
      <c r="B14" s="7"/>
      <c r="C14" s="15" t="s">
        <v>171</v>
      </c>
      <c r="D14" s="13" t="str" cm="1">
        <f t="array" aca="1" ref="D14" ca="1">_xlfn.LET(_xlpm.array,_xlfn.TEXTSPLIT(_xlfn.TEXTJOIN(";",TRUE,Druid_clothes),";"),INDEX(_xlpm.array,1,RANDBETWEEN(1,COLUMNS(_xlpm.array))))</f>
        <v>Shiny leather boots with fur. </v>
      </c>
      <c r="E14" s="13"/>
      <c r="F14" s="15" t="s">
        <v>285</v>
      </c>
      <c r="G14" s="13" t="str" cm="1">
        <f t="array" aca="1" ref="G14" ca="1">_xlfn.LET(_xlpm.array,_xlfn.TEXTSPLIT(_xlfn.TEXTJOIN(";",TRUE,Faith),";"),INDEX(_xlpm.array,1,RANDBETWEEN(1,COLUMNS(_xlpm.array))))</f>
        <v>Open-minded seeker.</v>
      </c>
      <c r="H14" s="13"/>
      <c r="I14" s="13"/>
      <c r="J14" s="13"/>
      <c r="K14" s="8"/>
    </row>
    <row r="15" spans="2:11" ht="21">
      <c r="B15" s="7"/>
      <c r="C15" s="15" t="s">
        <v>88</v>
      </c>
      <c r="D15" s="13" t="str" cm="1">
        <f t="array" aca="1" ref="D15" ca="1">_xlfn.LET(_xlpm.array,_xlfn.TEXTSPLIT(_xlfn.TEXTJOIN(";",TRUE,Face),";"),INDEX(_xlpm.array,1,RANDBETWEEN(1,COLUMNS(_xlpm.array))))</f>
        <v>A large mole.</v>
      </c>
      <c r="E15" s="13"/>
      <c r="F15" s="13"/>
      <c r="G15" s="13"/>
      <c r="H15" s="13"/>
      <c r="I15" s="13"/>
      <c r="J15" s="13"/>
      <c r="K15" s="8"/>
    </row>
    <row r="16" spans="2:11" ht="22" thickBot="1">
      <c r="B16" s="7"/>
      <c r="C16" s="15" t="s">
        <v>58</v>
      </c>
      <c r="D16" s="13" t="str" cm="1">
        <f t="array" aca="1" ref="D16" ca="1">_xlfn.LET(_xlpm.array,_xlfn.TEXTSPLIT(_xlfn.TEXTJOIN(";",TRUE,Jaw),";"),INDEX(_xlpm.array,1,RANDBETWEEN(1,COLUMNS(_xlpm.array))))</f>
        <v>A cleft chin.</v>
      </c>
      <c r="E16" s="13"/>
      <c r="F16" s="32" t="s">
        <v>1015</v>
      </c>
      <c r="G16" s="32"/>
      <c r="H16" s="13"/>
      <c r="I16" s="32" t="s">
        <v>1016</v>
      </c>
      <c r="J16" s="32"/>
      <c r="K16" s="8"/>
    </row>
    <row r="17" spans="2:23" ht="21">
      <c r="B17" s="7"/>
      <c r="C17" s="15" t="s">
        <v>45</v>
      </c>
      <c r="D17" s="13" t="str" cm="1">
        <f t="array" aca="1" ref="D17" ca="1">_xlfn.LET(_xlpm.array,_xlfn.TEXTSPLIT(_xlfn.TEXTJOIN(";",TRUE,Nose),";"),INDEX(_xlpm.array,1,RANDBETWEEN(1,COLUMNS(_xlpm.array))))</f>
        <v>A crooked nose.</v>
      </c>
      <c r="E17" s="13"/>
      <c r="F17" s="15" t="s">
        <v>1020</v>
      </c>
      <c r="G17" s="13" t="str" cm="1">
        <f t="array" aca="1" ref="G17" ca="1">_xlfn.LET(_xlpm.array,_xlfn.TEXTSPLIT(_xlfn.TEXTJOIN(";",TRUE,Druid_Weapon),";"),INDEX(_xlpm.array,1,RANDBETWEEN(1,COLUMNS(_xlpm.array))))</f>
        <v>A wood club.</v>
      </c>
      <c r="H17" s="13"/>
      <c r="I17" s="15" t="s">
        <v>1022</v>
      </c>
      <c r="J17" s="13" t="str" cm="1">
        <f t="array" aca="1" ref="J17" ca="1">_xlfn.LET(_xlpm.array,_xlfn.TEXTSPLIT(_xlfn.TEXTJOIN(";",TRUE,Druid_remedy_purpose),";"),INDEX(_xlpm.array,1,RANDBETWEEN(1,COLUMNS(_xlpm.array))))</f>
        <v>To cure indigestion. </v>
      </c>
      <c r="K17" s="8"/>
    </row>
    <row r="18" spans="2:23" ht="21">
      <c r="B18" s="7"/>
      <c r="C18" s="15" t="s">
        <v>34</v>
      </c>
      <c r="D18" s="13" t="str" cm="1">
        <f t="array" aca="1" ref="D18" ca="1">_xlfn.LET(_xlpm.array,_xlfn.TEXTSPLIT(_xlfn.TEXTJOIN(";",TRUE,Mouth),";"),INDEX(_xlpm.array,1,RANDBETWEEN(1,COLUMNS(_xlpm.array))))</f>
        <v>Normal</v>
      </c>
      <c r="E18" s="13"/>
      <c r="F18" s="15" t="s">
        <v>875</v>
      </c>
      <c r="G18" s="13" t="str" cm="1">
        <f t="array" aca="1" ref="G18" ca="1">_xlfn.LET(_xlpm.array,_xlfn.TEXTSPLIT(_xlfn.TEXTJOIN(";",TRUE,Druid_focus),";"),INDEX(_xlpm.array,1,RANDBETWEEN(1,COLUMNS(_xlpm.array))))</f>
        <v>A sprig of holly. </v>
      </c>
      <c r="H18" s="13"/>
      <c r="I18" s="15" t="s">
        <v>1023</v>
      </c>
      <c r="J18" s="13" t="str" cm="1">
        <f t="array" aca="1" ref="J18" ca="1">_xlfn.LET(_xlpm.array,_xlfn.TEXTSPLIT(_xlfn.TEXTJOIN(";",TRUE,Druid_remedy_form),";"),INDEX(_xlpm.array,1,RANDBETWEEN(1,COLUMNS(_xlpm.array))))</f>
        <v>A sweet-tasting potion.</v>
      </c>
      <c r="K18" s="8"/>
    </row>
    <row r="19" spans="2:23" ht="21">
      <c r="B19" s="7"/>
      <c r="C19" s="15" t="s">
        <v>0</v>
      </c>
      <c r="D19" s="13" t="str" cm="1">
        <f t="array" aca="1" ref="D19" ca="1">_xlfn.LET(_xlpm.array,_xlfn.TEXTSPLIT(_xlfn.TEXTJOIN(";",TRUE,Druid_Eyes),";"),INDEX(_xlpm.array,1,RANDBETWEEN(1,COLUMNS(_xlpm.array))))</f>
        <v>Dusty brown eyes. </v>
      </c>
      <c r="E19" s="13"/>
      <c r="F19" s="15" t="s">
        <v>890</v>
      </c>
      <c r="G19" s="13" t="str" cm="1">
        <f t="array" aca="1" ref="G19" ca="1">_xlfn.LET(_xlpm.array,_xlfn.TEXTSPLIT(_xlfn.TEXTJOIN(";",TRUE,Druid_focus_beast),";"),INDEX(_xlpm.array,1,RANDBETWEEN(1,COLUMNS(_xlpm.array))))</f>
        <v>Scales</v>
      </c>
      <c r="H19" s="13"/>
      <c r="I19" s="15" t="s">
        <v>1024</v>
      </c>
      <c r="J19" s="13" t="str" cm="1">
        <f t="array" aca="1" ref="J19" ca="1">_xlfn.LET(_xlpm.array,_xlfn.TEXTSPLIT(_xlfn.TEXTJOIN(";",TRUE,Druid_remedy_color),";"),INDEX(_xlpm.array,1,RANDBETWEEN(1,COLUMNS(_xlpm.array))))</f>
        <v>Blue green.</v>
      </c>
      <c r="K19" s="8"/>
      <c r="W19" t="s">
        <v>150</v>
      </c>
    </row>
    <row r="20" spans="2:23" ht="21">
      <c r="B20" s="7"/>
      <c r="C20" s="15" t="s">
        <v>21</v>
      </c>
      <c r="D20" s="13" t="str" cm="1">
        <f t="array" aca="1" ref="D20" ca="1">_xlfn.LET(_xlpm.array,_xlfn.TEXTSPLIT(_xlfn.TEXTJOIN(";",TRUE,Ears),";"),INDEX(_xlpm.array,1,RANDBETWEEN(1,COLUMNS(_xlpm.array))))</f>
        <v>Ears with improbable tufts of hair.</v>
      </c>
      <c r="E20" s="13"/>
      <c r="F20" s="15" t="s">
        <v>891</v>
      </c>
      <c r="G20" s="13" t="str" cm="1">
        <f t="array" aca="1" ref="G20" ca="1">_xlfn.LET(_xlpm.array,_xlfn.TEXTSPLIT(_xlfn.TEXTJOIN(";",TRUE,Druid_focus_plants),";"),INDEX(_xlpm.array,1,RANDBETWEEN(1,COLUMNS(_xlpm.array))))</f>
        <v>Fragnant Herbs</v>
      </c>
      <c r="H20" s="13"/>
      <c r="I20" s="15" t="s">
        <v>1025</v>
      </c>
      <c r="J20" s="13" t="str" cm="1">
        <f t="array" aca="1" ref="J20" ca="1">_xlfn.LET(_xlpm.array,_xlfn.TEXTSPLIT(_xlfn.TEXTJOIN(";",TRUE,Druid_remedy_ingredients),";"),INDEX(_xlpm.array,1,RANDBETWEEN(1,COLUMNS(_xlpm.array))))</f>
        <v>Seeds.</v>
      </c>
      <c r="K20" s="8"/>
      <c r="W20" t="s">
        <v>163</v>
      </c>
    </row>
    <row r="21" spans="2:23" ht="21">
      <c r="B21" s="7"/>
      <c r="C21" s="15" t="s">
        <v>125</v>
      </c>
      <c r="D21" s="13" t="str" cm="1">
        <f t="array" aca="1" ref="D21" ca="1">_xlfn.LET(_xlpm.array,_xlfn.TEXTSPLIT(_xlfn.TEXTJOIN(";",TRUE,Hands),";"),INDEX(_xlpm.array,1,RANDBETWEEN(1,COLUMNS(_xlpm.array))))</f>
        <v>Rough hands.</v>
      </c>
      <c r="E21" s="13"/>
      <c r="F21" s="15" t="s">
        <v>898</v>
      </c>
      <c r="G21" s="13" t="str" cm="1">
        <f t="array" aca="1" ref="G21" ca="1">_xlfn.LET(_xlpm.array,_xlfn.TEXTSPLIT(_xlfn.TEXTJOIN(";",TRUE,Druid_possessions),";"),INDEX(_xlpm.array,1,RANDBETWEEN(1,COLUMNS(_xlpm.array))))</f>
        <v>A wooden flute. </v>
      </c>
      <c r="H21" s="13"/>
      <c r="I21" s="15" t="s">
        <v>1026</v>
      </c>
      <c r="J21" s="13" t="str" cm="1">
        <f t="array" aca="1" ref="J21" ca="1">_xlfn.LET(_xlpm.array,_xlfn.TEXTSPLIT(_xlfn.TEXTJOIN(";",TRUE,Druid_remedy_prep),";"),INDEX(_xlpm.array,1,RANDBETWEEN(1,COLUMNS(_xlpm.array))))</f>
        <v>Brining. </v>
      </c>
      <c r="K21" s="8"/>
    </row>
    <row r="22" spans="2:23" ht="21">
      <c r="B22" s="7"/>
      <c r="C22" s="15" t="s">
        <v>132</v>
      </c>
      <c r="D22" s="13" t="str" cm="1">
        <f t="array" aca="1" ref="D22" ca="1">_xlfn.LET(_xlpm.array,_xlfn.TEXTSPLIT(_xlfn.TEXTJOIN(";",TRUE,Scar),";"),INDEX(_xlpm.array,1,RANDBETWEEN(1,COLUMNS(_xlpm.array))))</f>
        <v>No visible scars</v>
      </c>
      <c r="E22" s="13"/>
      <c r="H22" s="13"/>
      <c r="I22" s="15" t="s">
        <v>1027</v>
      </c>
      <c r="J22" s="13" t="str" cm="1">
        <f t="array" aca="1" ref="J22" ca="1">_xlfn.LET(_xlpm.array,_xlfn.TEXTSPLIT(_xlfn.TEXTJOIN(";",TRUE,Druid_remedy_application),";"),INDEX(_xlpm.array,1,RANDBETWEEN(1,COLUMNS(_xlpm.array))))</f>
        <v>Consumed immediately after preparation.</v>
      </c>
      <c r="K22" s="8"/>
    </row>
    <row r="23" spans="2:23" ht="22" thickBot="1">
      <c r="B23" s="7"/>
      <c r="C23" s="15" t="s">
        <v>137</v>
      </c>
      <c r="D23" s="13" t="str" cm="1">
        <f t="array" aca="1" ref="D23" ca="1">_xlfn.LET(_xlpm.array,_xlfn.TEXTSPLIT(_xlfn.TEXTJOIN(";",TRUE,Tattoos),";"),INDEX(_xlpm.array,1,RANDBETWEEN(1,COLUMNS(_xlpm.array))))</f>
        <v>No visible tattoos</v>
      </c>
      <c r="E23" s="13"/>
      <c r="F23" s="32" t="s">
        <v>777</v>
      </c>
      <c r="G23" s="32"/>
      <c r="H23" s="13"/>
      <c r="K23" s="8"/>
    </row>
    <row r="24" spans="2:23" ht="21">
      <c r="B24" s="7"/>
      <c r="C24" s="15" t="s">
        <v>1021</v>
      </c>
      <c r="D24" s="13" t="str" cm="1">
        <f t="array" aca="1" ref="D24" ca="1">_xlfn.LET(_xlpm.array,_xlfn.TEXTSPLIT(_xlfn.TEXTJOIN(";",TRUE,Druid_Trait),";"),INDEX(_xlpm.array,1,RANDBETWEEN(1,COLUMNS(_xlpm.array))))</f>
        <v>Stains of bird droppings on his/her clothes.</v>
      </c>
      <c r="E24" s="13"/>
      <c r="F24" s="40"/>
      <c r="G24" s="41"/>
      <c r="H24" s="13"/>
      <c r="I24" s="13"/>
      <c r="J24" s="13"/>
      <c r="K24" s="8"/>
    </row>
    <row r="25" spans="2:23" ht="21">
      <c r="B25" s="7"/>
      <c r="C25" s="39"/>
      <c r="D25" s="39"/>
      <c r="F25" s="35"/>
      <c r="G25" s="36"/>
      <c r="K25" s="8"/>
    </row>
    <row r="26" spans="2:23">
      <c r="B26" s="7"/>
      <c r="C26" s="20"/>
      <c r="D26" s="20"/>
      <c r="F26" s="35"/>
      <c r="G26" s="36"/>
      <c r="K26" s="8"/>
    </row>
    <row r="27" spans="2:23">
      <c r="B27" s="7"/>
      <c r="C27" s="20"/>
      <c r="D27" s="20"/>
      <c r="F27" s="35"/>
      <c r="G27" s="36"/>
      <c r="K27" s="8"/>
    </row>
    <row r="28" spans="2:23">
      <c r="B28" s="7"/>
      <c r="C28" s="20"/>
      <c r="D28" s="20"/>
      <c r="F28" s="35"/>
      <c r="G28" s="36"/>
      <c r="K28" s="8"/>
    </row>
    <row r="29" spans="2:23">
      <c r="B29" s="7"/>
      <c r="C29" s="20"/>
      <c r="D29" s="20"/>
      <c r="F29" s="35"/>
      <c r="G29" s="36"/>
      <c r="K29" s="8"/>
    </row>
    <row r="30" spans="2:23">
      <c r="B30" s="7"/>
      <c r="C30" s="20"/>
      <c r="D30" s="20"/>
      <c r="F30" s="35"/>
      <c r="G30" s="36"/>
      <c r="K30" s="8"/>
    </row>
    <row r="31" spans="2:23">
      <c r="B31" s="7"/>
      <c r="C31" s="20"/>
      <c r="D31" s="20"/>
      <c r="F31" s="35"/>
      <c r="G31" s="36"/>
      <c r="K31" s="8"/>
    </row>
    <row r="32" spans="2:23">
      <c r="B32" s="7"/>
      <c r="C32" s="20"/>
      <c r="D32" s="20"/>
      <c r="F32" s="37"/>
      <c r="G32" s="38"/>
      <c r="K32" s="8"/>
    </row>
    <row r="33" spans="2:11" ht="25" customHeight="1" thickBot="1">
      <c r="B33" s="9"/>
      <c r="C33" s="10"/>
      <c r="D33" s="10"/>
      <c r="E33" s="10"/>
      <c r="F33" s="10"/>
      <c r="G33" s="10"/>
      <c r="H33" s="10"/>
      <c r="I33" s="10"/>
      <c r="J33" s="10"/>
      <c r="K33" s="11"/>
    </row>
  </sheetData>
  <mergeCells count="8">
    <mergeCell ref="C25:D25"/>
    <mergeCell ref="F24:G32"/>
    <mergeCell ref="F23:G23"/>
    <mergeCell ref="C7:D7"/>
    <mergeCell ref="F7:G7"/>
    <mergeCell ref="I7:J7"/>
    <mergeCell ref="I16:J16"/>
    <mergeCell ref="F16:G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alc_Sheet">
                <anchor moveWithCells="1" sizeWithCells="1">
                  <from>
                    <xdr:col>11</xdr:col>
                    <xdr:colOff>457200</xdr:colOff>
                    <xdr:row>4</xdr:row>
                    <xdr:rowOff>76200</xdr:rowOff>
                  </from>
                  <to>
                    <xdr:col>13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AA2FA-9EDC-024A-B97A-5C99167A77D8}">
  <sheetPr codeName="Sheet6">
    <tabColor theme="9" tint="0.59999389629810485"/>
  </sheetPr>
  <dimension ref="B2:S41"/>
  <sheetViews>
    <sheetView showGridLines="0" workbookViewId="0">
      <selection activeCell="J4" sqref="J4"/>
    </sheetView>
  </sheetViews>
  <sheetFormatPr baseColWidth="10" defaultRowHeight="16"/>
  <cols>
    <col min="2" max="2" width="4.1640625" customWidth="1"/>
    <col min="3" max="3" width="17.33203125" bestFit="1" customWidth="1"/>
    <col min="4" max="4" width="37.6640625" bestFit="1" customWidth="1"/>
    <col min="5" max="5" width="4.1640625" customWidth="1"/>
    <col min="6" max="6" width="15.1640625" bestFit="1" customWidth="1"/>
    <col min="7" max="7" width="41.5" bestFit="1" customWidth="1"/>
    <col min="8" max="8" width="4.1640625" customWidth="1"/>
    <col min="9" max="9" width="12" bestFit="1" customWidth="1"/>
    <col min="10" max="10" width="54.1640625" bestFit="1" customWidth="1"/>
    <col min="11" max="11" width="4.1640625" customWidth="1"/>
  </cols>
  <sheetData>
    <row r="2" spans="2:11" ht="17" thickBot="1"/>
    <row r="3" spans="2:11" ht="25" customHeight="1">
      <c r="B3" s="4"/>
      <c r="C3" s="5"/>
      <c r="D3" s="5"/>
      <c r="E3" s="5"/>
      <c r="F3" s="5"/>
      <c r="G3" s="5"/>
      <c r="H3" s="5"/>
      <c r="I3" s="5"/>
      <c r="J3" s="5"/>
      <c r="K3" s="6"/>
    </row>
    <row r="4" spans="2:11" ht="22" thickBot="1">
      <c r="B4" s="7"/>
      <c r="C4" s="22" t="s">
        <v>1188</v>
      </c>
      <c r="D4" s="21" t="str" cm="1">
        <f t="array" aca="1" ref="D4" ca="1">IF($D$9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</f>
        <v>Teodora</v>
      </c>
      <c r="E4" s="13"/>
      <c r="F4" s="22" t="s">
        <v>2347</v>
      </c>
      <c r="G4" s="21" t="str" cm="1">
        <f t="array" aca="1" ref="G4" ca="1">_xlfn.LET(_xlpm.array,_xlfn.TEXTSPLIT(_xlfn.TEXTJOIN(";",TRUE,Elf_clan_name),";"),INDEX(_xlpm.array,1,RANDBETWEEN(1,COLUMNS(_xlpm.array))))</f>
        <v>Iliathorr</v>
      </c>
      <c r="H4" s="13"/>
      <c r="I4" s="22" t="s">
        <v>1189</v>
      </c>
      <c r="J4" s="21" t="s">
        <v>1086</v>
      </c>
      <c r="K4" s="8"/>
    </row>
    <row r="5" spans="2:11" ht="21">
      <c r="B5" s="7"/>
      <c r="C5" s="13"/>
      <c r="D5" s="13"/>
      <c r="E5" s="13"/>
      <c r="F5" s="13"/>
      <c r="G5" s="13"/>
      <c r="H5" s="13"/>
      <c r="I5" s="13"/>
      <c r="J5" s="13"/>
      <c r="K5" s="8"/>
    </row>
    <row r="6" spans="2:11" ht="22" thickBot="1">
      <c r="B6" s="7"/>
      <c r="C6" s="32" t="s">
        <v>347</v>
      </c>
      <c r="D6" s="32"/>
      <c r="E6" s="13"/>
      <c r="F6" s="32" t="s">
        <v>348</v>
      </c>
      <c r="G6" s="32"/>
      <c r="H6" s="13"/>
      <c r="I6" s="32" t="s">
        <v>2346</v>
      </c>
      <c r="J6" s="32"/>
      <c r="K6" s="8"/>
    </row>
    <row r="7" spans="2:11" ht="21">
      <c r="B7" s="7"/>
      <c r="C7" s="15" t="s">
        <v>67</v>
      </c>
      <c r="D7" s="13" t="str" cm="1">
        <f t="array" aca="1" ref="D7" ca="1">IF($J$4="Vyalia (Drow)",_xlfn.LET(_xlpm.array,_xlfn.TEXTSPLIT(_xlfn.TEXTJOIN(";",TRUE,Vyalia_hair),";"),INDEX(_xlpm.array,1,RANDBETWEEN(1,COLUMNS(_xlpm.array)))),IF($J$4="High Elves",_xlfn.LET(_xlpm.array,_xlfn.TEXTSPLIT(_xlfn.TEXTJOIN(";",TRUE,High_elf_hair),";"),INDEX(_xlpm.array,1,RANDBETWEEN(1,COLUMNS(_xlpm.array)))),IF($J$4="Callarii (Wood)",_xlfn.LET(_xlpm.array,_xlfn.TEXTSPLIT(_xlfn.TEXTJOIN(";",TRUE,Callarii_hair),";"),INDEX(_xlpm.array,1,RANDBETWEEN(1,COLUMNS(_xlpm.array)))))))</f>
        <v>Black hair. </v>
      </c>
      <c r="E7" s="13"/>
      <c r="F7" s="15" t="s">
        <v>1019</v>
      </c>
      <c r="G7" s="13" t="str" cm="1">
        <f t="array" aca="1" ref="G7" ca="1">IF($J$4="Vyalia (Drow)",_xlfn.LET(_xlpm.array,_xlfn.TEXTSPLIT(_xlfn.TEXTJOIN(";",TRUE,Vyalia_mannerism),";"),INDEX(_xlpm.array,1,RANDBETWEEN(1,COLUMNS(_xlpm.array)))),IF($J$4="High Elves",_xlfn.LET(_xlpm.array,_xlfn.TEXTSPLIT(_xlfn.TEXTJOIN(";",TRUE,High_elf_mannerism),";"),INDEX(_xlpm.array,1,RANDBETWEEN(1,COLUMNS(_xlpm.array)))),IF($J$4="Callarii (Wood)",_xlfn.LET(_xlpm.array,_xlfn.TEXTSPLIT(_xlfn.TEXTJOIN(";",TRUE,Callarii_mannerism),";"),INDEX(_xlpm.array,1,RANDBETWEEN(1,COLUMNS(_xlpm.array)))))))</f>
        <v>A humorless visage. </v>
      </c>
      <c r="H7" s="13"/>
      <c r="I7" s="15" t="s">
        <v>1186</v>
      </c>
      <c r="J7" s="13" t="str" cm="1">
        <f t="array" aca="1" ref="J7" ca="1">IF($J$4="Vyalia (Drow)",_xlfn.LET(_xlpm.array,_xlfn.TEXTSPLIT(_xlfn.TEXTJOIN(";",TRUE,Vyalia_profession),";"),INDEX(_xlpm.array,1,RANDBETWEEN(1,COLUMNS(_xlpm.array)))),IF($J$4="High Elves",_xlfn.LET(_xlpm.array,_xlfn.TEXTSPLIT(_xlfn.TEXTJOIN(";",TRUE,High_elf_profession),";"),INDEX(_xlpm.array,1,RANDBETWEEN(1,COLUMNS(_xlpm.array)))),IF($J$4="Callarii (Wood)",_xlfn.LET(_xlpm.array,_xlfn.TEXTSPLIT(_xlfn.TEXTJOIN(";",TRUE,Callarii_profession),";"),INDEX(_xlpm.array,1,RANDBETWEEN(1,COLUMNS(_xlpm.array)))))))</f>
        <v>A masterful sailor. </v>
      </c>
      <c r="K7" s="8"/>
    </row>
    <row r="8" spans="2:11" ht="21">
      <c r="B8" s="7"/>
      <c r="C8" s="15" t="s">
        <v>341</v>
      </c>
      <c r="D8" s="13" t="str" cm="1">
        <f t="array" aca="1" ref="D8" ca="1">_xlfn.LET(_xlpm.array,_xlfn.TEXTSPLIT(_xlfn.TEXTJOIN(";",TRUE,Age),";"),INDEX(_xlpm.array,1,RANDBETWEEN(1,COLUMNS(_xlpm.array))))</f>
        <v>Middle aged</v>
      </c>
      <c r="E8" s="13"/>
      <c r="F8" s="15" t="s">
        <v>243</v>
      </c>
      <c r="G8" s="13" t="str" cm="1">
        <f t="array" aca="1" ref="G8" ca="1">_xlfn.LET(_xlpm.array,_xlfn.TEXTSPLIT(_xlfn.TEXTJOIN(";",TRUE,Current_mood),";"),INDEX(_xlpm.array,1,RANDBETWEEN(1,COLUMNS(_xlpm.array))))</f>
        <v>Eager.</v>
      </c>
      <c r="H8" s="13"/>
      <c r="I8" s="15" t="s">
        <v>1028</v>
      </c>
      <c r="J8" s="13" t="str" cm="1">
        <f t="array" aca="1" ref="J8" ca="1">IF($J$4="Vyalia (Drow)",_xlfn.LET(_xlpm.array,_xlfn.TEXTSPLIT(_xlfn.TEXTJOIN(";",TRUE,Vyalia_goal),";"),INDEX(_xlpm.array,1,RANDBETWEEN(1,COLUMNS(_xlpm.array)))),IF($J$4="High Elves",_xlfn.LET(_xlpm.array,_xlfn.TEXTSPLIT(_xlfn.TEXTJOIN(";",TRUE,High_elf_goal),";"),INDEX(_xlpm.array,1,RANDBETWEEN(1,COLUMNS(_xlpm.array)))),IF($J$4="Callarii (Wood)",_xlfn.LET(_xlpm.array,_xlfn.TEXTSPLIT(_xlfn.TEXTJOIN(";",TRUE,Callarii_goal),";"),INDEX(_xlpm.array,1,RANDBETWEEN(1,COLUMNS(_xlpm.array)))))))</f>
        <v>Share a drink a tale of woe.</v>
      </c>
      <c r="K8" s="8"/>
    </row>
    <row r="9" spans="2:11" ht="21">
      <c r="B9" s="7"/>
      <c r="C9" s="15" t="s">
        <v>352</v>
      </c>
      <c r="D9" s="13" t="str" cm="1">
        <f t="array" aca="1" ref="D9" ca="1">_xlfn.LET(_xlpm.array,_xlfn.TEXTSPLIT(_xlfn.TEXTJOIN(";",TRUE,Gender),";"),INDEX(_xlpm.array,1,RANDBETWEEN(1,COLUMNS(_xlpm.array))))</f>
        <v>Female</v>
      </c>
      <c r="E9" s="13"/>
      <c r="F9" s="15" t="s">
        <v>264</v>
      </c>
      <c r="G9" s="13" t="str" cm="1">
        <f t="array" aca="1" ref="G9" ca="1">_xlfn.LET(_xlpm.array,_xlfn.TEXTSPLIT(_xlfn.TEXTJOIN(";",TRUE,Flaws),";"),INDEX(_xlpm.array,1,RANDBETWEEN(1,COLUMNS(_xlpm.array))))</f>
        <v>Chews with an open mouth.</v>
      </c>
      <c r="H9" s="13"/>
      <c r="I9" s="15" t="s">
        <v>1187</v>
      </c>
      <c r="J9" s="13" t="str" cm="1">
        <f t="array" aca="1" ref="J9" ca="1">IF($J$4="Vyalia (Drow)",_xlfn.LET(_xlpm.array,_xlfn.TEXTSPLIT(_xlfn.TEXTJOIN(";",TRUE,Vyalia_possession),";"),INDEX(_xlpm.array,1,RANDBETWEEN(1,COLUMNS(_xlpm.array)))),IF($J$4="High Elves",_xlfn.LET(_xlpm.array,_xlfn.TEXTSPLIT(_xlfn.TEXTJOIN(";",TRUE,High_elf_possession),";"),INDEX(_xlpm.array,1,RANDBETWEEN(1,COLUMNS(_xlpm.array)))),IF($J$4="Callarii (Wood)",_xlfn.LET(_xlpm.array,_xlfn.TEXTSPLIT(_xlfn.TEXTJOIN(";",TRUE,Callarii_possession),";"),INDEX(_xlpm.array,1,RANDBETWEEN(1,COLUMNS(_xlpm.array)))))))</f>
        <v>A cache of useful herbs. </v>
      </c>
      <c r="K9" s="8"/>
    </row>
    <row r="10" spans="2:11" ht="21">
      <c r="B10" s="7"/>
      <c r="C10" s="15" t="s">
        <v>104</v>
      </c>
      <c r="D10" s="13" t="str" cm="1">
        <f t="array" aca="1" ref="D10" ca="1">_xlfn.LET(_xlpm.array,_xlfn.TEXTSPLIT(_xlfn.TEXTJOIN(";",TRUE,Body),";"),INDEX(_xlpm.array,1,RANDBETWEEN(1,COLUMNS(_xlpm.array))))</f>
        <v>Slightly overweight.</v>
      </c>
      <c r="E10" s="13"/>
      <c r="F10" s="15" t="s">
        <v>349</v>
      </c>
      <c r="G10" s="13" t="str" cm="1">
        <f t="array" aca="1" ref="G10" ca="1">_xlfn.LET(_xlpm.array,_xlfn.TEXTSPLIT(_xlfn.TEXTJOIN(";",TRUE,Calm_trait),";"),INDEX(_xlpm.array,1,RANDBETWEEN(1,COLUMNS(_xlpm.array))))</f>
        <v>Deceitful</v>
      </c>
      <c r="H10" s="13"/>
      <c r="I10" s="13"/>
      <c r="J10" s="13"/>
      <c r="K10" s="8"/>
    </row>
    <row r="11" spans="2:11" ht="21">
      <c r="B11" s="7"/>
      <c r="C11" s="15" t="s">
        <v>97</v>
      </c>
      <c r="D11" s="13" t="str" cm="1">
        <f t="array" aca="1" ref="D11" ca="1">_xlfn.LET(_xlpm.array,_xlfn.TEXTSPLIT(_xlfn.TEXTJOIN(";",TRUE,Height),";"),INDEX(_xlpm.array,1,RANDBETWEEN(1,COLUMNS(_xlpm.array))))</f>
        <v>Slightly above average height.</v>
      </c>
      <c r="E11" s="13"/>
      <c r="F11" s="15" t="s">
        <v>350</v>
      </c>
      <c r="G11" s="13" t="str" cm="1">
        <f t="array" aca="1" ref="G11" ca="1">_xlfn.LET(_xlpm.array,_xlfn.TEXTSPLIT(_xlfn.TEXTJOIN(";",TRUE,Stress_trait),";"),INDEX(_xlpm.array,1,RANDBETWEEN(1,COLUMNS(_xlpm.array))))</f>
        <v>Reckless</v>
      </c>
      <c r="H11" s="13"/>
      <c r="I11" s="13"/>
      <c r="J11" s="13"/>
      <c r="K11" s="8"/>
    </row>
    <row r="12" spans="2:11" ht="21">
      <c r="B12" s="7"/>
      <c r="C12" s="15" t="s">
        <v>171</v>
      </c>
      <c r="D12" s="13" t="str" cm="1">
        <f t="array" aca="1" ref="D12" ca="1">_xlfn.LET(_xlpm.array,_xlfn.TEXTSPLIT(_xlfn.TEXTJOIN(";",TRUE,Clothes),";"),INDEX(_xlpm.array,1,RANDBETWEEN(1,COLUMNS(_xlpm.array))))</f>
        <v>Faded and patched.</v>
      </c>
      <c r="E12" s="13"/>
      <c r="F12" s="15" t="s">
        <v>294</v>
      </c>
      <c r="G12" s="13" t="str" cm="1">
        <f t="array" aca="1" ref="G12" ca="1">_xlfn.LET(_xlpm.array,_xlfn.TEXTSPLIT(_xlfn.TEXTJOIN(";",TRUE,Prejudice),";"),INDEX(_xlpm.array,1,RANDBETWEEN(1,COLUMNS(_xlpm.array))))</f>
        <v>Harlots</v>
      </c>
      <c r="H12" s="13"/>
      <c r="I12" s="13"/>
      <c r="J12" s="13"/>
      <c r="K12" s="8"/>
    </row>
    <row r="13" spans="2:11" ht="21">
      <c r="B13" s="7"/>
      <c r="C13" s="15" t="s">
        <v>0</v>
      </c>
      <c r="D13" s="13" t="str" cm="1">
        <f t="array" aca="1" ref="D13" ca="1">IF($J$4="Vyalia (Drow)",_xlfn.LET(_xlpm.array,_xlfn.TEXTSPLIT(_xlfn.TEXTJOIN(";",TRUE,Vyalia_eyes),";"),INDEX(_xlpm.array,1,RANDBETWEEN(1,COLUMNS(_xlpm.array)))),IF($J$4="High Elves",_xlfn.LET(_xlpm.array,_xlfn.TEXTSPLIT(_xlfn.TEXTJOIN(";",TRUE,High_elf_eyes),";"),INDEX(_xlpm.array,1,RANDBETWEEN(1,COLUMNS(_xlpm.array)))),IF($J$4="Callarii (Wood)",_xlfn.LET(_xlpm.array,_xlfn.TEXTSPLIT(_xlfn.TEXTJOIN(";",TRUE,Callarii_eyes),";"),INDEX(_xlpm.array,1,RANDBETWEEN(1,COLUMNS(_xlpm.array)))))))</f>
        <v>Dark blue eyes. </v>
      </c>
      <c r="E13" s="13"/>
      <c r="F13" s="15" t="s">
        <v>285</v>
      </c>
      <c r="G13" s="13" t="str" cm="1">
        <f t="array" aca="1" ref="G13" ca="1">_xlfn.LET(_xlpm.array,_xlfn.TEXTSPLIT(_xlfn.TEXTJOIN(";",TRUE,Faith),";"),INDEX(_xlpm.array,1,RANDBETWEEN(1,COLUMNS(_xlpm.array))))</f>
        <v>Open-minded seeker.</v>
      </c>
      <c r="H13" s="13"/>
      <c r="I13" s="13"/>
      <c r="J13" s="13"/>
      <c r="K13" s="8"/>
    </row>
    <row r="14" spans="2:11" ht="21">
      <c r="B14" s="7"/>
      <c r="C14" s="15" t="s">
        <v>88</v>
      </c>
      <c r="D14" s="13" t="str" cm="1">
        <f t="array" aca="1" ref="D14" ca="1">_xlfn.LET(_xlpm.array,_xlfn.TEXTSPLIT(_xlfn.TEXTJOIN(";",TRUE,Face),";"),INDEX(_xlpm.array,1,RANDBETWEEN(1,COLUMNS(_xlpm.array))))</f>
        <v>Normal</v>
      </c>
      <c r="E14" s="13"/>
      <c r="F14" s="13"/>
      <c r="G14" s="13"/>
      <c r="H14" s="13"/>
      <c r="I14" s="13"/>
      <c r="J14" s="13"/>
      <c r="K14" s="8"/>
    </row>
    <row r="15" spans="2:11" ht="22" thickBot="1">
      <c r="B15" s="7"/>
      <c r="C15" s="15" t="s">
        <v>58</v>
      </c>
      <c r="D15" s="13" t="str" cm="1">
        <f t="array" aca="1" ref="D15" ca="1">_xlfn.LET(_xlpm.array,_xlfn.TEXTSPLIT(_xlfn.TEXTJOIN(";",TRUE,Jaw),";"),INDEX(_xlpm.array,1,RANDBETWEEN(1,COLUMNS(_xlpm.array))))</f>
        <v>A rounded chin.</v>
      </c>
      <c r="E15" s="13"/>
      <c r="F15" s="32" t="s">
        <v>777</v>
      </c>
      <c r="G15" s="32"/>
      <c r="H15" s="13"/>
      <c r="I15" s="13"/>
      <c r="J15" s="13"/>
      <c r="K15" s="8"/>
    </row>
    <row r="16" spans="2:11" ht="21">
      <c r="B16" s="7"/>
      <c r="C16" s="15" t="s">
        <v>45</v>
      </c>
      <c r="D16" s="13" t="str" cm="1">
        <f t="array" aca="1" ref="D16" ca="1">_xlfn.LET(_xlpm.array,_xlfn.TEXTSPLIT(_xlfn.TEXTJOIN(";",TRUE,Nose),";"),INDEX(_xlpm.array,1,RANDBETWEEN(1,COLUMNS(_xlpm.array))))</f>
        <v>A button nose.</v>
      </c>
      <c r="E16" s="13"/>
      <c r="F16" s="40"/>
      <c r="G16" s="41"/>
      <c r="H16" s="13"/>
      <c r="I16" s="13"/>
      <c r="J16" s="13"/>
      <c r="K16" s="8"/>
    </row>
    <row r="17" spans="2:11" ht="21">
      <c r="B17" s="7"/>
      <c r="C17" s="15" t="s">
        <v>34</v>
      </c>
      <c r="D17" s="13" t="str" cm="1">
        <f t="array" aca="1" ref="D17" ca="1">_xlfn.LET(_xlpm.array,_xlfn.TEXTSPLIT(_xlfn.TEXTJOIN(";",TRUE,Mouth),";"),INDEX(_xlpm.array,1,RANDBETWEEN(1,COLUMNS(_xlpm.array))))</f>
        <v>Normal</v>
      </c>
      <c r="E17" s="13"/>
      <c r="F17" s="35"/>
      <c r="G17" s="36"/>
      <c r="H17" s="13"/>
      <c r="I17" s="13"/>
      <c r="J17" s="13"/>
      <c r="K17" s="8"/>
    </row>
    <row r="18" spans="2:11" ht="21">
      <c r="B18" s="7"/>
      <c r="C18" s="15" t="s">
        <v>125</v>
      </c>
      <c r="D18" s="13" t="str" cm="1">
        <f t="array" aca="1" ref="D18" ca="1">_xlfn.LET(_xlpm.array,_xlfn.TEXTSPLIT(_xlfn.TEXTJOIN(";",TRUE,Hands),";"),INDEX(_xlpm.array,1,RANDBETWEEN(1,COLUMNS(_xlpm.array))))</f>
        <v>Regular hands</v>
      </c>
      <c r="E18" s="13"/>
      <c r="F18" s="35"/>
      <c r="G18" s="36"/>
      <c r="H18" s="13"/>
      <c r="I18" s="13"/>
      <c r="J18" s="13"/>
      <c r="K18" s="8"/>
    </row>
    <row r="19" spans="2:11" ht="21">
      <c r="B19" s="7"/>
      <c r="C19" s="15" t="s">
        <v>132</v>
      </c>
      <c r="D19" s="13" t="str" cm="1">
        <f t="array" aca="1" ref="D19" ca="1">_xlfn.LET(_xlpm.array,_xlfn.TEXTSPLIT(_xlfn.TEXTJOIN(";",TRUE,Scar),";"),INDEX(_xlpm.array,1,RANDBETWEEN(1,COLUMNS(_xlpm.array))))</f>
        <v>No visible scars</v>
      </c>
      <c r="E19" s="13"/>
      <c r="F19" s="35"/>
      <c r="G19" s="36"/>
      <c r="H19" s="13"/>
      <c r="I19" s="13"/>
      <c r="J19" s="13"/>
      <c r="K19" s="8"/>
    </row>
    <row r="20" spans="2:11" ht="21">
      <c r="B20" s="7"/>
      <c r="C20" s="15" t="s">
        <v>137</v>
      </c>
      <c r="D20" s="13" t="str" cm="1">
        <f t="array" aca="1" ref="D20" ca="1">_xlfn.LET(_xlpm.array,_xlfn.TEXTSPLIT(_xlfn.TEXTJOIN(";",TRUE,Tattoos),";"),INDEX(_xlpm.array,1,RANDBETWEEN(1,COLUMNS(_xlpm.array))))</f>
        <v>An anchor tattoo.</v>
      </c>
      <c r="E20" s="13"/>
      <c r="F20" s="35"/>
      <c r="G20" s="36"/>
      <c r="H20" s="13"/>
      <c r="I20" s="13"/>
      <c r="J20" s="13"/>
      <c r="K20" s="8"/>
    </row>
    <row r="21" spans="2:11" ht="21">
      <c r="B21" s="7"/>
      <c r="C21" s="15" t="s">
        <v>150</v>
      </c>
      <c r="D21" s="13" t="str" cm="1">
        <f t="array" aca="1" ref="D21" ca="1">_xlfn.LET(_xlpm.array,_xlfn.TEXTSPLIT(_xlfn.TEXTJOIN(";",TRUE,Jewelry),";"),INDEX(_xlpm.array,1,RANDBETWEEN(1,COLUMNS(_xlpm.array))))</f>
        <v>No visible jewlery</v>
      </c>
      <c r="E21" s="13"/>
      <c r="F21" s="35"/>
      <c r="G21" s="36"/>
      <c r="H21" s="13"/>
      <c r="I21" s="13"/>
      <c r="J21" s="13"/>
      <c r="K21" s="8"/>
    </row>
    <row r="22" spans="2:11" ht="21">
      <c r="B22" s="7"/>
      <c r="C22" s="15" t="s">
        <v>163</v>
      </c>
      <c r="D22" s="13" t="str" cm="1">
        <f t="array" aca="1" ref="D22" ca="1">_xlfn.LET(_xlpm.array,_xlfn.TEXTSPLIT(_xlfn.TEXTJOIN(";",TRUE,Jewelry_made_of),";"),INDEX(_xlpm.array,1,RANDBETWEEN(1,COLUMNS(_xlpm.array))))</f>
        <v>Copper.</v>
      </c>
      <c r="E22" s="13"/>
      <c r="F22" s="37"/>
      <c r="G22" s="38"/>
      <c r="H22" s="13"/>
      <c r="I22" s="13"/>
      <c r="J22" s="13"/>
      <c r="K22" s="8"/>
    </row>
    <row r="23" spans="2:11" ht="25" customHeight="1" thickBot="1">
      <c r="B23" s="9"/>
      <c r="C23" s="10"/>
      <c r="D23" s="10"/>
      <c r="E23" s="10"/>
      <c r="F23" s="10"/>
      <c r="G23" s="10"/>
      <c r="H23" s="10"/>
      <c r="I23" s="10"/>
      <c r="J23" s="10"/>
      <c r="K23" s="11"/>
    </row>
    <row r="41" spans="19:19">
      <c r="S41" s="3"/>
    </row>
  </sheetData>
  <mergeCells count="5">
    <mergeCell ref="C6:D6"/>
    <mergeCell ref="F6:G6"/>
    <mergeCell ref="I6:J6"/>
    <mergeCell ref="F15:G15"/>
    <mergeCell ref="F16:G22"/>
  </mergeCells>
  <dataValidations count="1">
    <dataValidation type="list" allowBlank="1" showInputMessage="1" showErrorMessage="1" sqref="J4" xr:uid="{EF03B006-6252-694B-BE7B-E9B06B1B5006}">
      <formula1>Elf_Types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Calc_Sheet">
                <anchor moveWithCells="1" sizeWithCells="1">
                  <from>
                    <xdr:col>11</xdr:col>
                    <xdr:colOff>787400</xdr:colOff>
                    <xdr:row>3</xdr:row>
                    <xdr:rowOff>165100</xdr:rowOff>
                  </from>
                  <to>
                    <xdr:col>13</xdr:col>
                    <xdr:colOff>660400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E85B5-91AE-6A41-8D20-69697F63A6BD}">
  <sheetPr codeName="Sheet7">
    <tabColor theme="9" tint="0.59999389629810485"/>
  </sheetPr>
  <dimension ref="B1:K27"/>
  <sheetViews>
    <sheetView showGridLines="0" workbookViewId="0">
      <selection activeCell="I18" sqref="I18"/>
    </sheetView>
  </sheetViews>
  <sheetFormatPr baseColWidth="10" defaultRowHeight="16"/>
  <cols>
    <col min="2" max="2" width="4.1640625" customWidth="1"/>
    <col min="3" max="3" width="18" bestFit="1" customWidth="1"/>
    <col min="4" max="4" width="37.1640625" bestFit="1" customWidth="1"/>
    <col min="5" max="5" width="4.1640625" customWidth="1"/>
    <col min="7" max="7" width="30" bestFit="1" customWidth="1"/>
    <col min="8" max="8" width="4.1640625" customWidth="1"/>
    <col min="9" max="9" width="21.1640625" bestFit="1" customWidth="1"/>
    <col min="10" max="10" width="42.33203125" bestFit="1" customWidth="1"/>
    <col min="11" max="11" width="4.1640625" customWidth="1"/>
  </cols>
  <sheetData>
    <row r="1" spans="2:11" ht="17" thickBot="1"/>
    <row r="2" spans="2:11" ht="25" customHeight="1">
      <c r="B2" s="23"/>
      <c r="C2" s="24"/>
      <c r="D2" s="24"/>
      <c r="E2" s="24"/>
      <c r="F2" s="24"/>
      <c r="G2" s="24"/>
      <c r="H2" s="24"/>
      <c r="I2" s="24"/>
      <c r="J2" s="24"/>
      <c r="K2" s="25"/>
    </row>
    <row r="3" spans="2:11" ht="22" thickBot="1">
      <c r="B3" s="26"/>
      <c r="C3" s="22" t="s">
        <v>2652</v>
      </c>
      <c r="D3" s="21" t="str" cm="1">
        <f t="array" aca="1" ref="D3" ca="1">IF($D$8="Male",_xlfn.LET(_xlpm.array,_xlfn.TEXTSPLIT(_xlfn.TEXTJOIN(";",TRUE,Male_names),";"),INDEX(_xlpm.array,1,RANDBETWEEN(1,COLUMNS(_xlpm.array)))),_xlfn.LET(_xlpm.array,_xlfn.TEXTSPLIT(_xlfn.TEXTJOIN(";",TRUE,Female_names),";"),INDEX(_xlpm.array,1,RANDBETWEEN(1,COLUMNS(_xlpm.array)))))</f>
        <v>Velibor</v>
      </c>
      <c r="E3" s="13"/>
      <c r="F3" s="13"/>
      <c r="G3" s="13"/>
      <c r="H3" s="13"/>
      <c r="I3" s="13"/>
      <c r="J3" s="13"/>
      <c r="K3" s="27"/>
    </row>
    <row r="4" spans="2:11" ht="21">
      <c r="B4" s="26"/>
      <c r="C4" s="13"/>
      <c r="D4" s="13"/>
      <c r="E4" s="13"/>
      <c r="F4" s="13"/>
      <c r="G4" s="13"/>
      <c r="H4" s="13"/>
      <c r="I4" s="13"/>
      <c r="J4" s="13"/>
      <c r="K4" s="27"/>
    </row>
    <row r="5" spans="2:11" ht="22" thickBot="1">
      <c r="B5" s="26"/>
      <c r="C5" s="32" t="s">
        <v>347</v>
      </c>
      <c r="D5" s="32"/>
      <c r="E5" s="13"/>
      <c r="F5" s="32" t="s">
        <v>348</v>
      </c>
      <c r="G5" s="32"/>
      <c r="H5" s="13"/>
      <c r="I5" s="32" t="s">
        <v>2653</v>
      </c>
      <c r="J5" s="32"/>
      <c r="K5" s="27"/>
    </row>
    <row r="6" spans="2:11" ht="21">
      <c r="B6" s="26"/>
      <c r="C6" s="15" t="s">
        <v>333</v>
      </c>
      <c r="D6" s="13" t="str" cm="1">
        <f t="array" aca="1" ref="D6" ca="1">_xlfn.LET(_xlpm.array,_xlfn.TEXTSPLIT(_xlfn.TEXTJOIN(";",TRUE,Race),";"),INDEX(_xlpm.array,1,RANDBETWEEN(1,COLUMNS(_xlpm.array))))</f>
        <v>Human</v>
      </c>
      <c r="E6" s="13"/>
      <c r="F6" s="15" t="s">
        <v>243</v>
      </c>
      <c r="G6" s="13" t="str" cm="1">
        <f t="array" aca="1" ref="G6" ca="1">_xlfn.LET(_xlpm.array,_xlfn.TEXTSPLIT(_xlfn.TEXTJOIN(";",TRUE,Current_mood),";"),INDEX(_xlpm.array,1,RANDBETWEEN(1,COLUMNS(_xlpm.array))))</f>
        <v>Carefree.</v>
      </c>
      <c r="H6" s="13"/>
      <c r="I6" s="15" t="s">
        <v>2358</v>
      </c>
      <c r="J6" s="13" t="str" cm="1">
        <f t="array" aca="1" ref="J6" ca="1">_xlfn.LET(_xlpm.array,_xlfn.TEXTSPLIT(_xlfn.TEXTJOIN(";",TRUE,Bard_trait),";"),INDEX(_xlpm.array,1,RANDBETWEEN(1,COLUMNS(_xlpm.array))))</f>
        <v xml:space="preserve">d12 Goal: The bard is looking </v>
      </c>
      <c r="K6" s="27"/>
    </row>
    <row r="7" spans="2:11" ht="21">
      <c r="B7" s="26"/>
      <c r="C7" s="15" t="s">
        <v>341</v>
      </c>
      <c r="D7" s="13" t="str" cm="1">
        <f t="array" aca="1" ref="D7" ca="1">_xlfn.LET(_xlpm.array,_xlfn.TEXTSPLIT(_xlfn.TEXTJOIN(";",TRUE,Age),";"),INDEX(_xlpm.array,1,RANDBETWEEN(1,COLUMNS(_xlpm.array))))</f>
        <v>Child</v>
      </c>
      <c r="E7" s="13"/>
      <c r="F7" s="15" t="s">
        <v>264</v>
      </c>
      <c r="G7" s="13" t="str" cm="1">
        <f t="array" aca="1" ref="G7" ca="1">_xlfn.LET(_xlpm.array,_xlfn.TEXTSPLIT(_xlfn.TEXTJOIN(";",TRUE,Flaws),";"),INDEX(_xlpm.array,1,RANDBETWEEN(1,COLUMNS(_xlpm.array))))</f>
        <v>Believes what you tell him/her.</v>
      </c>
      <c r="H7" s="13"/>
      <c r="I7" s="15" t="s">
        <v>1029</v>
      </c>
      <c r="J7" s="13" t="str" cm="1">
        <f t="array" aca="1" ref="J7" ca="1">_xlfn.LET(_xlpm.array,_xlfn.TEXTSPLIT(_xlfn.TEXTJOIN(";",TRUE,Bard_background),";"),INDEX(_xlpm.array,1,RANDBETWEEN(1,COLUMNS(_xlpm.array))))</f>
        <v xml:space="preserve">A witty satirist. </v>
      </c>
      <c r="K7" s="27"/>
    </row>
    <row r="8" spans="2:11" ht="21">
      <c r="B8" s="26"/>
      <c r="C8" s="15" t="s">
        <v>352</v>
      </c>
      <c r="D8" s="13" t="str" cm="1">
        <f t="array" aca="1" ref="D8" ca="1">_xlfn.LET(_xlpm.array,_xlfn.TEXTSPLIT(_xlfn.TEXTJOIN(";",TRUE,Gender),";"),INDEX(_xlpm.array,1,RANDBETWEEN(1,COLUMNS(_xlpm.array))))</f>
        <v>Male</v>
      </c>
      <c r="E8" s="13"/>
      <c r="F8" s="15" t="s">
        <v>349</v>
      </c>
      <c r="G8" s="13" t="str" cm="1">
        <f t="array" aca="1" ref="G8" ca="1">_xlfn.LET(_xlpm.array,_xlfn.TEXTSPLIT(_xlfn.TEXTJOIN(";",TRUE,Calm_trait),";"),INDEX(_xlpm.array,1,RANDBETWEEN(1,COLUMNS(_xlpm.array))))</f>
        <v>Lazy</v>
      </c>
      <c r="H8" s="13"/>
      <c r="I8" s="15" t="s">
        <v>2659</v>
      </c>
      <c r="J8" s="13" t="str" cm="1">
        <f t="array" aca="1" ref="J8" ca="1">_xlfn.LET(_xlpm.array,_xlfn.TEXTSPLIT(_xlfn.TEXTJOIN(";",TRUE,Bard_instrument),";"),INDEX(_xlpm.array,1,RANDBETWEEN(1,COLUMNS(_xlpm.array))))</f>
        <v>Fiddle.</v>
      </c>
      <c r="K8" s="27"/>
    </row>
    <row r="9" spans="2:11" ht="21">
      <c r="B9" s="26"/>
      <c r="C9" s="15" t="s">
        <v>104</v>
      </c>
      <c r="D9" s="13" t="str" cm="1">
        <f t="array" aca="1" ref="D9" ca="1">_xlfn.LET(_xlpm.array,_xlfn.TEXTSPLIT(_xlfn.TEXTJOIN(";",TRUE,Body),";"),INDEX(_xlpm.array,1,RANDBETWEEN(1,COLUMNS(_xlpm.array))))</f>
        <v>Big and broad.</v>
      </c>
      <c r="E9" s="13"/>
      <c r="F9" s="15" t="s">
        <v>350</v>
      </c>
      <c r="G9" s="13" t="str" cm="1">
        <f t="array" aca="1" ref="G9" ca="1">_xlfn.LET(_xlpm.array,_xlfn.TEXTSPLIT(_xlfn.TEXTJOIN(";",TRUE,Stress_trait),";"),INDEX(_xlpm.array,1,RANDBETWEEN(1,COLUMNS(_xlpm.array))))</f>
        <v>Authoritarian</v>
      </c>
      <c r="H9" s="13"/>
      <c r="I9" s="15" t="s">
        <v>2660</v>
      </c>
      <c r="J9" s="13" t="str" cm="1">
        <f t="array" aca="1" ref="J9" ca="1">_xlfn.LET(_xlpm.array,_xlfn.TEXTSPLIT(_xlfn.TEXTJOIN(";",TRUE,Bard_instrument_history),";"),INDEX(_xlpm.array,1,RANDBETWEEN(1,COLUMNS(_xlpm.array))))</f>
        <v xml:space="preserve">The instrument of a legendary bard. </v>
      </c>
      <c r="K9" s="27"/>
    </row>
    <row r="10" spans="2:11" ht="21">
      <c r="B10" s="26"/>
      <c r="C10" s="15" t="s">
        <v>67</v>
      </c>
      <c r="D10" s="13" t="str" cm="1">
        <f t="array" aca="1" ref="D10" ca="1">_xlfn.LET(_xlpm.array,_xlfn.TEXTSPLIT(_xlfn.TEXTJOIN(";",TRUE,Hair),";"),INDEX(_xlpm.array,1,RANDBETWEEN(1,COLUMNS(_xlpm.array))))</f>
        <v>Poofy hair.</v>
      </c>
      <c r="E10" s="13"/>
      <c r="F10" s="15" t="s">
        <v>294</v>
      </c>
      <c r="G10" s="13" t="str" cm="1">
        <f t="array" aca="1" ref="G10" ca="1">_xlfn.LET(_xlpm.array,_xlfn.TEXTSPLIT(_xlfn.TEXTJOIN(";",TRUE,Prejudice),";"),INDEX(_xlpm.array,1,RANDBETWEEN(1,COLUMNS(_xlpm.array))))</f>
        <v>Elves</v>
      </c>
      <c r="H10" s="13"/>
      <c r="I10" s="15" t="s">
        <v>2661</v>
      </c>
      <c r="J10" s="13" t="str" cm="1">
        <f t="array" aca="1" ref="J10" ca="1">_xlfn.LET(_xlpm.array,_xlfn.TEXTSPLIT(_xlfn.TEXTJOIN(";",TRUE,Bard_weapons_tricks),";"),INDEX(_xlpm.array,1,RANDBETWEEN(1,COLUMNS(_xlpm.array))))</f>
        <v xml:space="preserve">A heavy wooden staff. </v>
      </c>
      <c r="K10" s="27"/>
    </row>
    <row r="11" spans="2:11" ht="21">
      <c r="B11" s="26"/>
      <c r="C11" s="15" t="s">
        <v>97</v>
      </c>
      <c r="D11" s="13" t="str" cm="1">
        <f t="array" aca="1" ref="D11" ca="1">_xlfn.LET(_xlpm.array,_xlfn.TEXTSPLIT(_xlfn.TEXTJOIN(";",TRUE,Height),";"),INDEX(_xlpm.array,1,RANDBETWEEN(1,COLUMNS(_xlpm.array))))</f>
        <v>Slightly above average height.</v>
      </c>
      <c r="E11" s="13"/>
      <c r="F11" s="15" t="s">
        <v>285</v>
      </c>
      <c r="G11" s="13" t="str" cm="1">
        <f t="array" aca="1" ref="G11" ca="1">_xlfn.LET(_xlpm.array,_xlfn.TEXTSPLIT(_xlfn.TEXTJOIN(";",TRUE,Faith),";"),INDEX(_xlpm.array,1,RANDBETWEEN(1,COLUMNS(_xlpm.array))))</f>
        <v>Outspoken cynic.</v>
      </c>
      <c r="H11" s="13"/>
      <c r="I11" s="15" t="s">
        <v>1187</v>
      </c>
      <c r="J11" s="13" t="str" cm="1">
        <f t="array" aca="1" ref="J11" ca="1">_xlfn.LET(_xlpm.array,_xlfn.TEXTSPLIT(_xlfn.TEXTJOIN(";",TRUE,Bard_possessions),";"),INDEX(_xlpm.array,1,RANDBETWEEN(1,COLUMNS(_xlpm.array))))</f>
        <v xml:space="preserve">A jar of mustache wax. </v>
      </c>
      <c r="K11" s="27"/>
    </row>
    <row r="12" spans="2:11" ht="21">
      <c r="B12" s="26"/>
      <c r="C12" s="15" t="s">
        <v>2649</v>
      </c>
      <c r="D12" s="13" t="str" cm="1">
        <f t="array" aca="1" ref="D12" ca="1">_xlfn.LET(_xlpm.array,_xlfn.TEXTSPLIT(_xlfn.TEXTJOIN(";",TRUE,Bard_clothes),";"),INDEX(_xlpm.array,1,RANDBETWEEN(1,COLUMNS(_xlpm.array))))</f>
        <v>A coat made from an exotic hide</v>
      </c>
      <c r="E12" s="13"/>
      <c r="F12" s="13"/>
      <c r="G12" s="13"/>
      <c r="H12" s="13"/>
      <c r="I12" s="15" t="s">
        <v>1028</v>
      </c>
      <c r="J12" s="13" t="str" cm="1">
        <f t="array" aca="1" ref="J12" ca="1">_xlfn.LET(_xlpm.array,_xlfn.TEXTSPLIT(_xlfn.TEXTJOIN(";",TRUE,Bard_goal),";"),INDEX(_xlpm.array,1,RANDBETWEEN(1,COLUMNS(_xlpm.array))))</f>
        <v xml:space="preserve">A night of drinking and merrymaking. </v>
      </c>
      <c r="K12" s="27"/>
    </row>
    <row r="13" spans="2:11" ht="22" thickBot="1">
      <c r="B13" s="26"/>
      <c r="C13" s="15" t="s">
        <v>2355</v>
      </c>
      <c r="D13" s="13" t="str" cm="1">
        <f t="array" aca="1" ref="D13" ca="1">_xlfn.LET(_xlpm.array,_xlfn.TEXTSPLIT(_xlfn.TEXTJOIN(";",TRUE,Bard_hat_feather),";"),INDEX(_xlpm.array,1,RANDBETWEEN(1,COLUMNS(_xlpm.array))))</f>
        <v>ostrich</v>
      </c>
      <c r="E13" s="13"/>
      <c r="F13" s="32" t="s">
        <v>777</v>
      </c>
      <c r="G13" s="32"/>
      <c r="H13" s="13"/>
      <c r="I13" s="13"/>
      <c r="J13" s="13"/>
      <c r="K13" s="27"/>
    </row>
    <row r="14" spans="2:11" ht="21" customHeight="1" thickBot="1">
      <c r="B14" s="26"/>
      <c r="C14" s="15" t="s">
        <v>2356</v>
      </c>
      <c r="D14" s="13" t="str" cm="1">
        <f t="array" aca="1" ref="D14" ca="1">_xlfn.LET(_xlpm.array,_xlfn.TEXTSPLIT(_xlfn.TEXTJOIN(";",TRUE,Bard_boot_hide),";"),INDEX(_xlpm.array,1,RANDBETWEEN(1,COLUMNS(_xlpm.array))))</f>
        <v>Demonskin</v>
      </c>
      <c r="E14" s="13"/>
      <c r="F14" s="40"/>
      <c r="G14" s="41"/>
      <c r="H14" s="13"/>
      <c r="I14" s="32" t="s">
        <v>2654</v>
      </c>
      <c r="J14" s="32"/>
      <c r="K14" s="27"/>
    </row>
    <row r="15" spans="2:11" ht="21">
      <c r="B15" s="26"/>
      <c r="C15" s="15" t="s">
        <v>2357</v>
      </c>
      <c r="D15" s="13" t="str" cm="1">
        <f t="array" aca="1" ref="D15" ca="1">_xlfn.LET(_xlpm.array,_xlfn.TEXTSPLIT(_xlfn.TEXTJOIN(";",TRUE,Bard_coat_hide),";"),INDEX(_xlpm.array,1,RANDBETWEEN(1,COLUMNS(_xlpm.array))))</f>
        <v>Leopard</v>
      </c>
      <c r="E15" s="13"/>
      <c r="F15" s="35"/>
      <c r="G15" s="36"/>
      <c r="H15" s="13"/>
      <c r="I15" s="15" t="s">
        <v>2655</v>
      </c>
      <c r="J15" s="13" t="str" cm="1">
        <f t="array" aca="1" ref="J15" ca="1">_xlfn.LET(_xlpm.array,_xlfn.TEXTSPLIT(_xlfn.TEXTJOIN(";",TRUE,Bard_fans),";"),INDEX(_xlpm.array,1,RANDBETWEEN(1,COLUMNS(_xlpm.array))))</f>
        <v xml:space="preserve">Lonely wives. </v>
      </c>
      <c r="K15" s="27"/>
    </row>
    <row r="16" spans="2:11" ht="21">
      <c r="B16" s="26"/>
      <c r="C16" s="15" t="s">
        <v>88</v>
      </c>
      <c r="D16" s="13" t="str" cm="1">
        <f t="array" aca="1" ref="D16" ca="1">_xlfn.LET(_xlpm.array,_xlfn.TEXTSPLIT(_xlfn.TEXTJOIN(";",TRUE,Face),";"),INDEX(_xlpm.array,1,RANDBETWEEN(1,COLUMNS(_xlpm.array))))</f>
        <v>Normal</v>
      </c>
      <c r="E16" s="13"/>
      <c r="F16" s="35"/>
      <c r="G16" s="36"/>
      <c r="H16" s="13"/>
      <c r="I16" s="15" t="s">
        <v>2656</v>
      </c>
      <c r="J16" s="13" t="str" cm="1">
        <f t="array" aca="1" ref="J16" ca="1">_xlfn.LET(_xlpm.array,_xlfn.TEXTSPLIT(_xlfn.TEXTJOIN(";",TRUE,Bard_tale),";"),INDEX(_xlpm.array,1,RANDBETWEEN(1,COLUMNS(_xlpm.array))))</f>
        <v>A distant castle</v>
      </c>
      <c r="K16" s="27"/>
    </row>
    <row r="17" spans="2:11" ht="21">
      <c r="B17" s="26"/>
      <c r="C17" s="15" t="s">
        <v>58</v>
      </c>
      <c r="D17" s="13" t="str" cm="1">
        <f t="array" aca="1" ref="D17" ca="1">_xlfn.LET(_xlpm.array,_xlfn.TEXTSPLIT(_xlfn.TEXTJOIN(";",TRUE,Jaw),";"),INDEX(_xlpm.array,1,RANDBETWEEN(1,COLUMNS(_xlpm.array))))</f>
        <v>A round jaw.</v>
      </c>
      <c r="E17" s="13"/>
      <c r="F17" s="35"/>
      <c r="G17" s="36"/>
      <c r="H17" s="13"/>
      <c r="I17" s="15" t="s">
        <v>4040</v>
      </c>
      <c r="J17" s="13" t="str" cm="1">
        <f t="array" aca="1" ref="J17" ca="1">_xlfn.LET(_xlpm.array,_xlfn.TEXTSPLIT(_xlfn.TEXTJOIN(";",TRUE,Bard_song),";"),INDEX(_xlpm.array,1,RANDBETWEEN(1,COLUMNS(_xlpm.array))))</f>
        <v>Snake</v>
      </c>
      <c r="K17" s="27"/>
    </row>
    <row r="18" spans="2:11" ht="21">
      <c r="B18" s="26"/>
      <c r="C18" s="15" t="s">
        <v>45</v>
      </c>
      <c r="D18" s="13" t="str" cm="1">
        <f t="array" aca="1" ref="D18" ca="1">_xlfn.LET(_xlpm.array,_xlfn.TEXTSPLIT(_xlfn.TEXTJOIN(";",TRUE,Nose),";"),INDEX(_xlpm.array,1,RANDBETWEEN(1,COLUMNS(_xlpm.array))))</f>
        <v>A round nose.</v>
      </c>
      <c r="E18" s="13"/>
      <c r="F18" s="35"/>
      <c r="G18" s="36"/>
      <c r="H18" s="13"/>
      <c r="I18" s="15" t="s">
        <v>2657</v>
      </c>
      <c r="J18" s="13" t="str" cm="1">
        <f t="array" aca="1" ref="J18" ca="1">_xlfn.LET(_xlpm.array,_xlfn.TEXTSPLIT(_xlfn.TEXTJOIN(";",TRUE,Bard_song_popular),";"),INDEX(_xlpm.array,1,RANDBETWEEN(1,COLUMNS(_xlpm.array))))</f>
        <v>It was sung at a magnificent wedding feast.</v>
      </c>
      <c r="K18" s="27"/>
    </row>
    <row r="19" spans="2:11" ht="21">
      <c r="B19" s="26"/>
      <c r="C19" s="15" t="s">
        <v>34</v>
      </c>
      <c r="D19" s="13" t="str" cm="1">
        <f t="array" aca="1" ref="D19" ca="1">_xlfn.LET(_xlpm.array,_xlfn.TEXTSPLIT(_xlfn.TEXTJOIN(";",TRUE,Mouth),";"),INDEX(_xlpm.array,1,RANDBETWEEN(1,COLUMNS(_xlpm.array))))</f>
        <v>Normal</v>
      </c>
      <c r="E19" s="13"/>
      <c r="F19" s="35"/>
      <c r="G19" s="36"/>
      <c r="H19" s="13"/>
      <c r="I19" s="15" t="s">
        <v>2658</v>
      </c>
      <c r="J19" s="13" t="str" cm="1">
        <f t="array" aca="1" ref="J19" ca="1">_xlfn.LET(_xlpm.array,_xlfn.TEXTSPLIT(_xlfn.TEXTJOIN(";",TRUE,Bard_sung_at),";"),INDEX(_xlpm.array,1,RANDBETWEEN(1,COLUMNS(_xlpm.array))))</f>
        <v xml:space="preserve">Taverns and aboard ships. </v>
      </c>
      <c r="K19" s="27"/>
    </row>
    <row r="20" spans="2:11" ht="21">
      <c r="B20" s="26"/>
      <c r="C20" s="15" t="s">
        <v>0</v>
      </c>
      <c r="D20" s="13" t="str" cm="1">
        <f t="array" aca="1" ref="D20" ca="1">_xlfn.LET(_xlpm.array,_xlfn.TEXTSPLIT(_xlfn.TEXTJOIN(";",TRUE,Eyes),";"),INDEX(_xlpm.array,1,RANDBETWEEN(1,COLUMNS(_xlpm.array))))</f>
        <v>Dark eyes.</v>
      </c>
      <c r="E20" s="13"/>
      <c r="F20" s="37"/>
      <c r="G20" s="38"/>
      <c r="H20" s="13"/>
      <c r="I20" s="13"/>
      <c r="J20" s="13"/>
      <c r="K20" s="27"/>
    </row>
    <row r="21" spans="2:11" ht="21">
      <c r="B21" s="26"/>
      <c r="C21" s="15" t="s">
        <v>21</v>
      </c>
      <c r="D21" s="13" t="str" cm="1">
        <f t="array" aca="1" ref="D21" ca="1">_xlfn.LET(_xlpm.array,_xlfn.TEXTSPLIT(_xlfn.TEXTJOIN(";",TRUE,Ears),";"),INDEX(_xlpm.array,1,RANDBETWEEN(1,COLUMNS(_xlpm.array))))</f>
        <v>Normal</v>
      </c>
      <c r="E21" s="13"/>
      <c r="F21" s="13"/>
      <c r="G21" s="13"/>
      <c r="H21" s="13"/>
      <c r="I21" s="13"/>
      <c r="J21" s="13"/>
      <c r="K21" s="27"/>
    </row>
    <row r="22" spans="2:11" ht="21">
      <c r="B22" s="26"/>
      <c r="C22" s="15" t="s">
        <v>125</v>
      </c>
      <c r="D22" s="13" t="str" cm="1">
        <f t="array" aca="1" ref="D22" ca="1">_xlfn.LET(_xlpm.array,_xlfn.TEXTSPLIT(_xlfn.TEXTJOIN(";",TRUE,Hands),";"),INDEX(_xlpm.array,1,RANDBETWEEN(1,COLUMNS(_xlpm.array))))</f>
        <v>Rough hands.</v>
      </c>
      <c r="E22" s="13"/>
      <c r="F22" s="13"/>
      <c r="G22" s="13"/>
      <c r="H22" s="13"/>
      <c r="I22" s="13"/>
      <c r="J22" s="13"/>
      <c r="K22" s="27"/>
    </row>
    <row r="23" spans="2:11" ht="21">
      <c r="B23" s="26"/>
      <c r="C23" s="15" t="s">
        <v>132</v>
      </c>
      <c r="D23" s="13" t="str" cm="1">
        <f t="array" aca="1" ref="D23" ca="1">_xlfn.LET(_xlpm.array,_xlfn.TEXTSPLIT(_xlfn.TEXTJOIN(";",TRUE,Scar),";"),INDEX(_xlpm.array,1,RANDBETWEEN(1,COLUMNS(_xlpm.array))))</f>
        <v>A long, thin scar.</v>
      </c>
      <c r="E23" s="13"/>
      <c r="F23" s="13"/>
      <c r="G23" s="13"/>
      <c r="H23" s="13"/>
      <c r="I23" s="13"/>
      <c r="J23" s="13"/>
      <c r="K23" s="27"/>
    </row>
    <row r="24" spans="2:11" ht="21">
      <c r="B24" s="26"/>
      <c r="C24" s="15" t="s">
        <v>137</v>
      </c>
      <c r="D24" s="13" t="str" cm="1">
        <f t="array" aca="1" ref="D24" ca="1">_xlfn.LET(_xlpm.array,_xlfn.TEXTSPLIT(_xlfn.TEXTJOIN(";",TRUE,Tattoos),";"),INDEX(_xlpm.array,1,RANDBETWEEN(1,COLUMNS(_xlpm.array))))</f>
        <v>No visible tattoos</v>
      </c>
      <c r="E24" s="13"/>
      <c r="F24" s="13"/>
      <c r="G24" s="13"/>
      <c r="H24" s="13"/>
      <c r="I24" s="13"/>
      <c r="J24" s="13"/>
      <c r="K24" s="27"/>
    </row>
    <row r="25" spans="2:11" ht="21">
      <c r="B25" s="26"/>
      <c r="C25" s="15" t="s">
        <v>150</v>
      </c>
      <c r="D25" s="13" t="str" cm="1">
        <f t="array" aca="1" ref="D25" ca="1">_xlfn.LET(_xlpm.array,_xlfn.TEXTSPLIT(_xlfn.TEXTJOIN(";",TRUE,Jewelry),";"),INDEX(_xlpm.array,1,RANDBETWEEN(1,COLUMNS(_xlpm.array))))</f>
        <v>A tight choker about the neck.</v>
      </c>
      <c r="E25" s="13"/>
      <c r="F25" s="13"/>
      <c r="G25" s="13"/>
      <c r="H25" s="13"/>
      <c r="I25" s="13"/>
      <c r="J25" s="13"/>
      <c r="K25" s="27"/>
    </row>
    <row r="26" spans="2:11" ht="21">
      <c r="B26" s="26"/>
      <c r="C26" s="15" t="s">
        <v>163</v>
      </c>
      <c r="D26" s="13" t="str" cm="1">
        <f t="array" aca="1" ref="D26" ca="1">_xlfn.LET(_xlpm.array,_xlfn.TEXTSPLIT(_xlfn.TEXTJOIN(";",TRUE,Jewelry_made_of),";"),INDEX(_xlpm.array,1,RANDBETWEEN(1,COLUMNS(_xlpm.array))))</f>
        <v>Steel.</v>
      </c>
      <c r="E26" s="13"/>
      <c r="F26" s="13"/>
      <c r="G26" s="13"/>
      <c r="H26" s="13"/>
      <c r="I26" s="13"/>
      <c r="J26" s="13"/>
      <c r="K26" s="27"/>
    </row>
    <row r="27" spans="2:11" ht="25" customHeight="1" thickBot="1">
      <c r="B27" s="28"/>
      <c r="C27" s="29"/>
      <c r="D27" s="29"/>
      <c r="E27" s="29"/>
      <c r="F27" s="29"/>
      <c r="G27" s="29"/>
      <c r="H27" s="29"/>
      <c r="I27" s="29"/>
      <c r="J27" s="29"/>
      <c r="K27" s="30"/>
    </row>
  </sheetData>
  <mergeCells count="6">
    <mergeCell ref="C5:D5"/>
    <mergeCell ref="F5:G5"/>
    <mergeCell ref="I5:J5"/>
    <mergeCell ref="I14:J14"/>
    <mergeCell ref="F13:G13"/>
    <mergeCell ref="F14:G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c_Sheet">
                <anchor moveWithCells="1" sizeWithCells="1">
                  <from>
                    <xdr:col>11</xdr:col>
                    <xdr:colOff>787400</xdr:colOff>
                    <xdr:row>3</xdr:row>
                    <xdr:rowOff>177800</xdr:rowOff>
                  </from>
                  <to>
                    <xdr:col>14</xdr:col>
                    <xdr:colOff>25400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2C88-EA51-4840-A026-2E175C17D812}">
  <sheetPr codeName="Sheet1">
    <tabColor rgb="FFC00000"/>
  </sheetPr>
  <dimension ref="B1:BP1015"/>
  <sheetViews>
    <sheetView topLeftCell="A56" workbookViewId="0">
      <selection activeCell="AO1" sqref="AO1:AO1048576"/>
    </sheetView>
  </sheetViews>
  <sheetFormatPr baseColWidth="10" defaultRowHeight="16"/>
  <cols>
    <col min="1" max="1" width="4.1640625" customWidth="1"/>
    <col min="2" max="2" width="20" style="1" bestFit="1" customWidth="1"/>
    <col min="3" max="3" width="53.83203125" style="1" bestFit="1" customWidth="1"/>
    <col min="4" max="4" width="25.33203125" style="1" bestFit="1" customWidth="1"/>
    <col min="5" max="5" width="30" style="1" bestFit="1" customWidth="1"/>
    <col min="6" max="6" width="30.1640625" style="1" bestFit="1" customWidth="1"/>
    <col min="7" max="7" width="39" style="1" bestFit="1" customWidth="1"/>
    <col min="8" max="8" width="46" style="1" bestFit="1" customWidth="1"/>
    <col min="9" max="9" width="19.5" style="1" bestFit="1" customWidth="1"/>
    <col min="10" max="10" width="22" style="1" bestFit="1" customWidth="1"/>
    <col min="11" max="11" width="28.1640625" style="1" bestFit="1" customWidth="1"/>
    <col min="12" max="12" width="56" style="1" bestFit="1" customWidth="1"/>
    <col min="13" max="13" width="39" style="1" bestFit="1" customWidth="1"/>
    <col min="14" max="14" width="33.83203125" style="1" bestFit="1" customWidth="1"/>
    <col min="15" max="15" width="27.1640625" style="1" bestFit="1" customWidth="1"/>
    <col min="16" max="17" width="30" style="1" bestFit="1" customWidth="1"/>
    <col min="18" max="18" width="20.6640625" style="1" bestFit="1" customWidth="1"/>
    <col min="19" max="19" width="37.83203125" style="1" bestFit="1" customWidth="1"/>
    <col min="20" max="20" width="31.5" style="1" bestFit="1" customWidth="1"/>
    <col min="21" max="21" width="12.5" style="1" bestFit="1" customWidth="1"/>
    <col min="22" max="22" width="12.83203125" style="1" bestFit="1" customWidth="1"/>
    <col min="23" max="23" width="16.5" bestFit="1" customWidth="1"/>
    <col min="24" max="24" width="23.1640625" bestFit="1" customWidth="1"/>
    <col min="25" max="25" width="23.33203125" customWidth="1"/>
    <col min="26" max="26" width="4.1640625" customWidth="1"/>
    <col min="27" max="27" width="13.5" customWidth="1"/>
    <col min="28" max="28" width="15.5" customWidth="1"/>
    <col min="30" max="30" width="11.83203125" customWidth="1"/>
    <col min="32" max="32" width="4.1640625" customWidth="1"/>
    <col min="33" max="33" width="14.6640625" bestFit="1" customWidth="1"/>
    <col min="34" max="34" width="4.1640625" customWidth="1"/>
    <col min="35" max="35" width="30" bestFit="1" customWidth="1"/>
    <col min="36" max="36" width="30.5" bestFit="1" customWidth="1"/>
    <col min="37" max="37" width="36" bestFit="1" customWidth="1"/>
    <col min="38" max="38" width="13.6640625" bestFit="1" customWidth="1"/>
    <col min="39" max="39" width="12.1640625" customWidth="1"/>
    <col min="40" max="40" width="45.1640625" bestFit="1" customWidth="1"/>
    <col min="41" max="41" width="4.1640625" customWidth="1"/>
    <col min="42" max="42" width="24.1640625" bestFit="1" customWidth="1"/>
    <col min="43" max="43" width="25.83203125" bestFit="1" customWidth="1"/>
    <col min="44" max="44" width="39.5" bestFit="1" customWidth="1"/>
    <col min="45" max="45" width="16" bestFit="1" customWidth="1"/>
    <col min="46" max="46" width="11.83203125" bestFit="1" customWidth="1"/>
    <col min="47" max="47" width="7.1640625" bestFit="1" customWidth="1"/>
    <col min="48" max="48" width="4.1640625" customWidth="1"/>
    <col min="49" max="49" width="66.5" bestFit="1" customWidth="1"/>
    <col min="50" max="50" width="30" bestFit="1" customWidth="1"/>
    <col min="51" max="51" width="32.33203125" bestFit="1" customWidth="1"/>
    <col min="52" max="52" width="26.6640625" bestFit="1" customWidth="1"/>
    <col min="53" max="53" width="14" bestFit="1" customWidth="1"/>
    <col min="54" max="54" width="45.83203125" bestFit="1" customWidth="1"/>
    <col min="55" max="55" width="4.1640625" customWidth="1"/>
    <col min="56" max="56" width="37" bestFit="1" customWidth="1"/>
    <col min="57" max="57" width="30.5" bestFit="1" customWidth="1"/>
    <col min="58" max="58" width="51.83203125" bestFit="1" customWidth="1"/>
    <col min="59" max="59" width="32" bestFit="1" customWidth="1"/>
    <col min="60" max="60" width="11.83203125" bestFit="1" customWidth="1"/>
    <col min="61" max="61" width="43.83203125" bestFit="1" customWidth="1"/>
    <col min="62" max="62" width="4.1640625" customWidth="1"/>
    <col min="63" max="63" width="75.33203125" bestFit="1" customWidth="1"/>
    <col min="64" max="64" width="10.1640625" bestFit="1" customWidth="1"/>
    <col min="65" max="65" width="4.1640625" customWidth="1"/>
    <col min="66" max="66" width="17.1640625" bestFit="1" customWidth="1"/>
    <col min="67" max="67" width="25.33203125" bestFit="1" customWidth="1"/>
    <col min="68" max="68" width="75.33203125" customWidth="1"/>
  </cols>
  <sheetData>
    <row r="1" spans="2:68">
      <c r="B1" s="1" t="s">
        <v>333</v>
      </c>
      <c r="C1" s="1" t="s">
        <v>341</v>
      </c>
      <c r="D1" s="1" t="s">
        <v>352</v>
      </c>
      <c r="E1" s="1" t="s">
        <v>0</v>
      </c>
      <c r="F1" s="1" t="s">
        <v>21</v>
      </c>
      <c r="G1" s="1" t="s">
        <v>34</v>
      </c>
      <c r="H1" s="1" t="s">
        <v>45</v>
      </c>
      <c r="I1" s="1" t="s">
        <v>58</v>
      </c>
      <c r="J1" s="1" t="s">
        <v>67</v>
      </c>
      <c r="K1" s="1" t="s">
        <v>88</v>
      </c>
      <c r="L1" s="1" t="s">
        <v>97</v>
      </c>
      <c r="M1" s="1" t="s">
        <v>104</v>
      </c>
      <c r="N1" s="1" t="s">
        <v>125</v>
      </c>
      <c r="O1" s="1" t="s">
        <v>132</v>
      </c>
      <c r="P1" s="1" t="s">
        <v>137</v>
      </c>
      <c r="Q1" s="1" t="s">
        <v>150</v>
      </c>
      <c r="R1" s="1" t="s">
        <v>163</v>
      </c>
      <c r="S1" s="1" t="s">
        <v>171</v>
      </c>
      <c r="T1" s="1" t="s">
        <v>180</v>
      </c>
      <c r="U1" s="1" t="s">
        <v>213</v>
      </c>
      <c r="V1" s="1" t="s">
        <v>243</v>
      </c>
      <c r="W1" s="1" t="s">
        <v>285</v>
      </c>
      <c r="X1" s="1" t="s">
        <v>294</v>
      </c>
      <c r="Y1" s="1" t="s">
        <v>264</v>
      </c>
      <c r="AA1" s="18" t="s">
        <v>355</v>
      </c>
      <c r="AB1" s="18" t="s">
        <v>356</v>
      </c>
      <c r="AC1" s="18" t="s">
        <v>2343</v>
      </c>
      <c r="AD1" s="18" t="s">
        <v>2344</v>
      </c>
      <c r="AE1" s="18" t="s">
        <v>2345</v>
      </c>
      <c r="AG1" s="18" t="s">
        <v>2953</v>
      </c>
      <c r="AI1" s="18" t="s">
        <v>2955</v>
      </c>
      <c r="AJ1" s="18" t="s">
        <v>2956</v>
      </c>
      <c r="AP1" s="18" t="s">
        <v>2955</v>
      </c>
      <c r="AQ1" s="18" t="s">
        <v>2969</v>
      </c>
      <c r="AW1" s="18" t="s">
        <v>2955</v>
      </c>
      <c r="AX1" s="18" t="s">
        <v>2978</v>
      </c>
      <c r="AY1" s="18"/>
      <c r="BD1" s="18" t="s">
        <v>2955</v>
      </c>
      <c r="BE1" s="18" t="s">
        <v>2990</v>
      </c>
      <c r="BF1" s="18"/>
      <c r="BG1" s="18"/>
      <c r="BH1" s="18"/>
      <c r="BI1" s="18"/>
      <c r="BK1" t="s">
        <v>2955</v>
      </c>
      <c r="BL1" t="s">
        <v>3018</v>
      </c>
      <c r="BN1" s="45" t="s">
        <v>4037</v>
      </c>
      <c r="BO1" s="45"/>
      <c r="BP1" s="45"/>
    </row>
    <row r="2" spans="2:68">
      <c r="B2" s="2" t="s">
        <v>334</v>
      </c>
      <c r="C2" s="2" t="s">
        <v>342</v>
      </c>
      <c r="D2" s="2" t="s">
        <v>353</v>
      </c>
      <c r="E2" s="2" t="s">
        <v>1</v>
      </c>
      <c r="F2" s="2" t="s">
        <v>22</v>
      </c>
      <c r="G2" s="2" t="s">
        <v>35</v>
      </c>
      <c r="H2" s="2" t="s">
        <v>46</v>
      </c>
      <c r="I2" s="2" t="s">
        <v>59</v>
      </c>
      <c r="J2" s="2" t="s">
        <v>68</v>
      </c>
      <c r="K2" s="2" t="s">
        <v>89</v>
      </c>
      <c r="L2" s="2" t="s">
        <v>98</v>
      </c>
      <c r="M2" s="2" t="s">
        <v>105</v>
      </c>
      <c r="N2" s="2" t="s">
        <v>126</v>
      </c>
      <c r="O2" s="2" t="s">
        <v>133</v>
      </c>
      <c r="P2" s="2" t="s">
        <v>138</v>
      </c>
      <c r="Q2" s="2" t="s">
        <v>151</v>
      </c>
      <c r="R2" s="2" t="s">
        <v>164</v>
      </c>
      <c r="S2" s="2" t="s">
        <v>172</v>
      </c>
      <c r="T2" s="2" t="s">
        <v>181</v>
      </c>
      <c r="U2" s="2" t="s">
        <v>214</v>
      </c>
      <c r="V2" s="2" t="s">
        <v>244</v>
      </c>
      <c r="W2" s="2" t="s">
        <v>286</v>
      </c>
      <c r="X2" s="2" t="s">
        <v>295</v>
      </c>
      <c r="Y2" s="2" t="s">
        <v>265</v>
      </c>
      <c r="AA2" s="18" t="s">
        <v>357</v>
      </c>
      <c r="AB2" s="18" t="s">
        <v>654</v>
      </c>
      <c r="AC2" s="18" t="s">
        <v>1190</v>
      </c>
      <c r="AD2" s="18" t="s">
        <v>1744</v>
      </c>
      <c r="AE2" s="18" t="s">
        <v>2065</v>
      </c>
      <c r="AG2" s="18" t="s">
        <v>2663</v>
      </c>
      <c r="AI2" s="18" t="s">
        <v>1029</v>
      </c>
      <c r="AJ2" s="18" t="s">
        <v>1187</v>
      </c>
      <c r="AK2" s="18" t="s">
        <v>1028</v>
      </c>
      <c r="AL2" s="18" t="s">
        <v>1021</v>
      </c>
      <c r="AM2" s="18" t="s">
        <v>2952</v>
      </c>
      <c r="AN2" s="18" t="s">
        <v>2954</v>
      </c>
      <c r="AP2" s="18" t="s">
        <v>1029</v>
      </c>
      <c r="AQ2" s="18" t="s">
        <v>1187</v>
      </c>
      <c r="AR2" s="18" t="s">
        <v>1028</v>
      </c>
      <c r="AS2" s="18" t="s">
        <v>1021</v>
      </c>
      <c r="AT2" s="18" t="s">
        <v>2952</v>
      </c>
      <c r="AU2" s="18" t="s">
        <v>2954</v>
      </c>
      <c r="AW2" s="18" t="s">
        <v>1029</v>
      </c>
      <c r="AX2" s="18" t="s">
        <v>1187</v>
      </c>
      <c r="AY2" s="18" t="s">
        <v>1028</v>
      </c>
      <c r="AZ2" s="18" t="s">
        <v>1021</v>
      </c>
      <c r="BA2" s="18" t="s">
        <v>2952</v>
      </c>
      <c r="BB2" s="18" t="s">
        <v>2954</v>
      </c>
      <c r="BD2" s="18" t="s">
        <v>1029</v>
      </c>
      <c r="BE2" s="18" t="s">
        <v>1187</v>
      </c>
      <c r="BF2" s="18" t="s">
        <v>1028</v>
      </c>
      <c r="BG2" s="18" t="s">
        <v>1021</v>
      </c>
      <c r="BH2" s="18" t="s">
        <v>2952</v>
      </c>
      <c r="BI2" s="18" t="s">
        <v>2954</v>
      </c>
      <c r="BK2" s="18" t="s">
        <v>3019</v>
      </c>
      <c r="BL2" s="18" t="s">
        <v>4033</v>
      </c>
      <c r="BN2" s="42" t="s">
        <v>4034</v>
      </c>
      <c r="BO2" s="42" t="s">
        <v>4035</v>
      </c>
      <c r="BP2" s="42" t="s">
        <v>4036</v>
      </c>
    </row>
    <row r="3" spans="2:68">
      <c r="B3" s="2" t="s">
        <v>335</v>
      </c>
      <c r="C3" s="2" t="s">
        <v>343</v>
      </c>
      <c r="D3" s="2" t="s">
        <v>354</v>
      </c>
      <c r="E3" s="2" t="s">
        <v>2</v>
      </c>
      <c r="F3" s="2" t="s">
        <v>23</v>
      </c>
      <c r="G3" s="2" t="s">
        <v>36</v>
      </c>
      <c r="H3" s="2" t="s">
        <v>47</v>
      </c>
      <c r="I3" s="2" t="s">
        <v>60</v>
      </c>
      <c r="J3" s="2" t="s">
        <v>69</v>
      </c>
      <c r="K3" s="2" t="s">
        <v>90</v>
      </c>
      <c r="L3" s="2" t="s">
        <v>99</v>
      </c>
      <c r="M3" s="2" t="s">
        <v>106</v>
      </c>
      <c r="N3" s="2" t="s">
        <v>127</v>
      </c>
      <c r="O3" s="2" t="s">
        <v>134</v>
      </c>
      <c r="P3" s="2" t="s">
        <v>139</v>
      </c>
      <c r="Q3" s="2" t="s">
        <v>152</v>
      </c>
      <c r="R3" s="2" t="s">
        <v>165</v>
      </c>
      <c r="S3" s="2" t="s">
        <v>173</v>
      </c>
      <c r="T3" s="2" t="s">
        <v>182</v>
      </c>
      <c r="U3" s="2" t="s">
        <v>215</v>
      </c>
      <c r="V3" s="2" t="s">
        <v>245</v>
      </c>
      <c r="W3" s="2" t="s">
        <v>287</v>
      </c>
      <c r="X3" s="2" t="s">
        <v>296</v>
      </c>
      <c r="Y3" s="2" t="s">
        <v>266</v>
      </c>
      <c r="AA3" s="18" t="s">
        <v>611</v>
      </c>
      <c r="AB3" s="18" t="s">
        <v>611</v>
      </c>
      <c r="AC3" s="18" t="s">
        <v>1191</v>
      </c>
      <c r="AD3" s="18" t="s">
        <v>1745</v>
      </c>
      <c r="AE3" s="18" t="s">
        <v>2066</v>
      </c>
      <c r="AG3" s="18" t="s">
        <v>2664</v>
      </c>
      <c r="AI3" s="18" t="s">
        <v>2676</v>
      </c>
      <c r="AJ3" s="18" t="s">
        <v>2688</v>
      </c>
      <c r="AK3" s="18" t="s">
        <v>2682</v>
      </c>
      <c r="AL3" s="18"/>
      <c r="AM3" s="18"/>
      <c r="AN3" s="18"/>
      <c r="AP3" s="18" t="s">
        <v>2970</v>
      </c>
      <c r="AQ3" s="18" t="s">
        <v>2732</v>
      </c>
      <c r="AR3" s="18" t="s">
        <v>2726</v>
      </c>
      <c r="AS3" s="18" t="s">
        <v>2738</v>
      </c>
      <c r="AT3" s="18"/>
      <c r="AU3" s="18"/>
      <c r="AW3" s="18" t="s">
        <v>2808</v>
      </c>
      <c r="AX3" s="18" t="s">
        <v>2804</v>
      </c>
      <c r="AY3" s="18" t="s">
        <v>2800</v>
      </c>
      <c r="AZ3" s="18"/>
      <c r="BA3" s="18"/>
      <c r="BB3" s="18"/>
      <c r="BD3" s="18" t="s">
        <v>2870</v>
      </c>
      <c r="BE3" s="18"/>
      <c r="BF3" s="18" t="s">
        <v>2881</v>
      </c>
      <c r="BG3" s="18" t="s">
        <v>2876</v>
      </c>
      <c r="BH3" s="18"/>
      <c r="BI3" s="18"/>
      <c r="BK3" s="18" t="s">
        <v>4029</v>
      </c>
      <c r="BL3" s="18">
        <v>9</v>
      </c>
      <c r="BN3" s="43" cm="1">
        <f t="array" aca="1" ref="BN3" ca="1">INDEX(_xlfn.UNIQUE(Plot_hook[Category]), RANDBETWEEN(1, ROWS(_xlfn.UNIQUE(Plot_hook[Category]))))</f>
        <v>8</v>
      </c>
      <c r="BO3" s="43" cm="1">
        <f t="array" aca="1" ref="BO3" ca="1">SMALL(IF(Plot_hook[Category]=$BN$3, ROW(Plot_hook[Category])-MIN(ROW(Plot_hook[Category]))+1), RANDBETWEEN(1, COUNTIF(Plot_hook[Category], $BN$3)))</f>
        <v>36</v>
      </c>
      <c r="BP3" s="43" t="str" cm="1">
        <f t="array" aca="1" ref="BP3" ca="1">INDEX(Plot_hook[Hook], SMALL(IF(Plot_hook[Category]=$BN$3, ROW(Plot_hook[Category])-MIN(ROW(Plot_hook[Category]))+1), RANDBETWEEN(1, COUNTIF(Plot_hook[Category], $BN$3))))</f>
        <v>has learned of the existence of a shrine to the archdevil Belial</v>
      </c>
    </row>
    <row r="4" spans="2:68">
      <c r="B4" s="2" t="s">
        <v>336</v>
      </c>
      <c r="C4" s="2" t="s">
        <v>344</v>
      </c>
      <c r="D4" s="2"/>
      <c r="E4" s="2" t="s">
        <v>3</v>
      </c>
      <c r="F4" s="2" t="s">
        <v>24</v>
      </c>
      <c r="G4" s="2" t="s">
        <v>37</v>
      </c>
      <c r="H4" s="2" t="s">
        <v>48</v>
      </c>
      <c r="I4" s="2" t="s">
        <v>61</v>
      </c>
      <c r="J4" s="2" t="s">
        <v>70</v>
      </c>
      <c r="K4" s="2" t="s">
        <v>91</v>
      </c>
      <c r="L4" s="2" t="s">
        <v>100</v>
      </c>
      <c r="M4" s="2" t="s">
        <v>107</v>
      </c>
      <c r="N4" s="2" t="s">
        <v>128</v>
      </c>
      <c r="O4" s="2" t="s">
        <v>135</v>
      </c>
      <c r="P4" s="2" t="s">
        <v>140</v>
      </c>
      <c r="Q4" s="2" t="s">
        <v>153</v>
      </c>
      <c r="R4" s="2" t="s">
        <v>166</v>
      </c>
      <c r="S4" s="2" t="s">
        <v>174</v>
      </c>
      <c r="T4" s="2" t="s">
        <v>183</v>
      </c>
      <c r="U4" s="2" t="s">
        <v>216</v>
      </c>
      <c r="V4" s="2" t="s">
        <v>246</v>
      </c>
      <c r="W4" s="2" t="s">
        <v>288</v>
      </c>
      <c r="X4" s="2" t="s">
        <v>297</v>
      </c>
      <c r="Y4" s="2" t="s">
        <v>267</v>
      </c>
      <c r="AA4" s="18" t="s">
        <v>358</v>
      </c>
      <c r="AB4" s="18" t="s">
        <v>655</v>
      </c>
      <c r="AC4" s="18" t="s">
        <v>1192</v>
      </c>
      <c r="AD4" s="18" t="s">
        <v>1746</v>
      </c>
      <c r="AE4" s="18" t="s">
        <v>2067</v>
      </c>
      <c r="AG4" s="18" t="s">
        <v>2665</v>
      </c>
      <c r="AI4" s="18" t="s">
        <v>2677</v>
      </c>
      <c r="AJ4" s="18" t="s">
        <v>2406</v>
      </c>
      <c r="AK4" s="18" t="s">
        <v>2683</v>
      </c>
      <c r="AL4" s="18"/>
      <c r="AM4" s="18"/>
      <c r="AN4" s="18"/>
      <c r="AP4" s="18" t="s">
        <v>2971</v>
      </c>
      <c r="AQ4" s="18" t="s">
        <v>2733</v>
      </c>
      <c r="AR4" s="18" t="s">
        <v>2727</v>
      </c>
      <c r="AS4" s="18" t="s">
        <v>2739</v>
      </c>
      <c r="AT4" s="18"/>
      <c r="AU4" s="18"/>
      <c r="AW4" s="18" t="s">
        <v>2809</v>
      </c>
      <c r="AX4" s="18" t="s">
        <v>2805</v>
      </c>
      <c r="AY4" s="18" t="s">
        <v>2801</v>
      </c>
      <c r="AZ4" s="18"/>
      <c r="BA4" s="18"/>
      <c r="BB4" s="18"/>
      <c r="BD4" s="18" t="s">
        <v>2871</v>
      </c>
      <c r="BE4" s="18"/>
      <c r="BF4" s="18" t="s">
        <v>2882</v>
      </c>
      <c r="BG4" s="18" t="s">
        <v>2877</v>
      </c>
      <c r="BH4" s="18"/>
      <c r="BI4" s="18"/>
      <c r="BK4" s="18" t="s">
        <v>4023</v>
      </c>
      <c r="BL4" s="18">
        <v>9</v>
      </c>
    </row>
    <row r="5" spans="2:68">
      <c r="B5" s="2" t="s">
        <v>337</v>
      </c>
      <c r="C5" s="2" t="s">
        <v>345</v>
      </c>
      <c r="D5" s="2"/>
      <c r="E5" s="2" t="s">
        <v>4</v>
      </c>
      <c r="F5" s="2" t="s">
        <v>25</v>
      </c>
      <c r="G5" s="2" t="s">
        <v>38</v>
      </c>
      <c r="H5" s="2" t="s">
        <v>49</v>
      </c>
      <c r="I5" s="2" t="s">
        <v>62</v>
      </c>
      <c r="J5" s="2" t="s">
        <v>71</v>
      </c>
      <c r="K5" s="2" t="s">
        <v>92</v>
      </c>
      <c r="L5" s="2" t="s">
        <v>101</v>
      </c>
      <c r="M5" s="2" t="s">
        <v>108</v>
      </c>
      <c r="N5" s="2" t="s">
        <v>129</v>
      </c>
      <c r="O5" s="2" t="s">
        <v>136</v>
      </c>
      <c r="P5" s="2" t="s">
        <v>141</v>
      </c>
      <c r="Q5" s="2" t="s">
        <v>154</v>
      </c>
      <c r="R5" s="2" t="s">
        <v>167</v>
      </c>
      <c r="S5" s="2" t="s">
        <v>175</v>
      </c>
      <c r="T5" s="2" t="s">
        <v>184</v>
      </c>
      <c r="U5" s="2" t="s">
        <v>217</v>
      </c>
      <c r="V5" s="2" t="s">
        <v>247</v>
      </c>
      <c r="W5" s="2" t="s">
        <v>289</v>
      </c>
      <c r="X5" s="2" t="s">
        <v>298</v>
      </c>
      <c r="Y5" s="2" t="s">
        <v>268</v>
      </c>
      <c r="AA5" s="18" t="s">
        <v>359</v>
      </c>
      <c r="AB5" s="18" t="s">
        <v>737</v>
      </c>
      <c r="AC5" s="18" t="s">
        <v>1193</v>
      </c>
      <c r="AD5" s="18" t="s">
        <v>1747</v>
      </c>
      <c r="AE5" s="18" t="s">
        <v>2068</v>
      </c>
      <c r="AG5" s="18" t="s">
        <v>2666</v>
      </c>
      <c r="AI5" s="18" t="s">
        <v>2678</v>
      </c>
      <c r="AJ5" s="18" t="s">
        <v>2689</v>
      </c>
      <c r="AK5" s="18" t="s">
        <v>2684</v>
      </c>
      <c r="AL5" s="18"/>
      <c r="AM5" s="18"/>
      <c r="AN5" s="18"/>
      <c r="AP5" s="18" t="s">
        <v>2972</v>
      </c>
      <c r="AQ5" s="18" t="s">
        <v>2734</v>
      </c>
      <c r="AR5" s="18" t="s">
        <v>2728</v>
      </c>
      <c r="AS5" s="18" t="s">
        <v>2740</v>
      </c>
      <c r="AT5" s="18"/>
      <c r="AU5" s="18"/>
      <c r="AW5" s="18" t="s">
        <v>2810</v>
      </c>
      <c r="AX5" s="18" t="s">
        <v>2806</v>
      </c>
      <c r="AY5" s="18" t="s">
        <v>2802</v>
      </c>
      <c r="AZ5" s="18"/>
      <c r="BA5" s="18"/>
      <c r="BB5" s="18"/>
      <c r="BD5" s="18" t="s">
        <v>2872</v>
      </c>
      <c r="BE5" s="18"/>
      <c r="BF5" s="18" t="s">
        <v>2883</v>
      </c>
      <c r="BG5" s="18" t="s">
        <v>2878</v>
      </c>
      <c r="BH5" s="18"/>
      <c r="BI5" s="18"/>
      <c r="BK5" s="18" t="s">
        <v>4028</v>
      </c>
      <c r="BL5" s="18">
        <v>9</v>
      </c>
    </row>
    <row r="6" spans="2:68">
      <c r="B6" s="2" t="s">
        <v>338</v>
      </c>
      <c r="C6" s="2" t="s">
        <v>346</v>
      </c>
      <c r="D6" s="2"/>
      <c r="E6" s="2" t="s">
        <v>5</v>
      </c>
      <c r="F6" s="2" t="s">
        <v>26</v>
      </c>
      <c r="G6" s="2" t="s">
        <v>39</v>
      </c>
      <c r="H6" s="2" t="s">
        <v>50</v>
      </c>
      <c r="I6" s="2" t="s">
        <v>63</v>
      </c>
      <c r="J6" s="2" t="s">
        <v>72</v>
      </c>
      <c r="K6" s="2" t="s">
        <v>93</v>
      </c>
      <c r="L6" s="2" t="s">
        <v>102</v>
      </c>
      <c r="M6" s="2" t="s">
        <v>109</v>
      </c>
      <c r="N6" s="2" t="s">
        <v>130</v>
      </c>
      <c r="O6" s="2" t="s">
        <v>133</v>
      </c>
      <c r="P6" s="2" t="s">
        <v>142</v>
      </c>
      <c r="Q6" s="2" t="s">
        <v>155</v>
      </c>
      <c r="R6" s="2" t="s">
        <v>168</v>
      </c>
      <c r="S6" s="2" t="s">
        <v>176</v>
      </c>
      <c r="T6" s="2" t="s">
        <v>185</v>
      </c>
      <c r="U6" s="2" t="s">
        <v>218</v>
      </c>
      <c r="V6" s="2" t="s">
        <v>248</v>
      </c>
      <c r="W6" s="2" t="s">
        <v>290</v>
      </c>
      <c r="X6" s="2" t="s">
        <v>299</v>
      </c>
      <c r="Y6" s="2" t="s">
        <v>269</v>
      </c>
      <c r="AA6" s="18" t="s">
        <v>360</v>
      </c>
      <c r="AB6" s="18" t="s">
        <v>656</v>
      </c>
      <c r="AC6" s="18" t="s">
        <v>1194</v>
      </c>
      <c r="AD6" s="18" t="s">
        <v>1748</v>
      </c>
      <c r="AE6" s="18" t="s">
        <v>2069</v>
      </c>
      <c r="AG6" s="18" t="s">
        <v>2667</v>
      </c>
      <c r="AI6" s="18" t="s">
        <v>2679</v>
      </c>
      <c r="AJ6" s="18" t="s">
        <v>2690</v>
      </c>
      <c r="AK6" s="18" t="s">
        <v>2685</v>
      </c>
      <c r="AL6" s="18"/>
      <c r="AM6" s="18"/>
      <c r="AN6" s="18"/>
      <c r="AP6" s="18" t="s">
        <v>2973</v>
      </c>
      <c r="AQ6" s="18" t="s">
        <v>2735</v>
      </c>
      <c r="AR6" s="18" t="s">
        <v>2729</v>
      </c>
      <c r="AS6" s="18" t="s">
        <v>2741</v>
      </c>
      <c r="AT6" s="18"/>
      <c r="AU6" s="18"/>
      <c r="AW6" s="18" t="s">
        <v>2811</v>
      </c>
      <c r="AX6" s="18" t="s">
        <v>2807</v>
      </c>
      <c r="AY6" s="18" t="s">
        <v>2803</v>
      </c>
      <c r="AZ6" s="18"/>
      <c r="BA6" s="18"/>
      <c r="BB6" s="18"/>
      <c r="BD6" s="18" t="s">
        <v>2873</v>
      </c>
      <c r="BE6" s="18"/>
      <c r="BF6" s="18" t="s">
        <v>2884</v>
      </c>
      <c r="BG6" s="18" t="s">
        <v>2879</v>
      </c>
      <c r="BH6" s="18"/>
      <c r="BI6" s="18"/>
      <c r="BK6" s="18" t="s">
        <v>4025</v>
      </c>
      <c r="BL6" s="18">
        <v>9</v>
      </c>
    </row>
    <row r="7" spans="2:68">
      <c r="B7" s="2" t="s">
        <v>339</v>
      </c>
      <c r="C7" s="2" t="s">
        <v>297</v>
      </c>
      <c r="D7" s="2"/>
      <c r="E7" s="2" t="s">
        <v>6</v>
      </c>
      <c r="F7" s="2" t="s">
        <v>27</v>
      </c>
      <c r="G7" s="2" t="s">
        <v>40</v>
      </c>
      <c r="H7" s="2" t="s">
        <v>51</v>
      </c>
      <c r="I7" s="2" t="s">
        <v>64</v>
      </c>
      <c r="J7" s="2" t="s">
        <v>73</v>
      </c>
      <c r="K7" s="2" t="s">
        <v>94</v>
      </c>
      <c r="L7" s="2" t="s">
        <v>103</v>
      </c>
      <c r="M7" s="2" t="s">
        <v>110</v>
      </c>
      <c r="N7" s="2" t="s">
        <v>131</v>
      </c>
      <c r="O7" s="2" t="s">
        <v>134</v>
      </c>
      <c r="P7" s="2" t="s">
        <v>143</v>
      </c>
      <c r="Q7" s="2" t="s">
        <v>156</v>
      </c>
      <c r="R7" s="2" t="s">
        <v>169</v>
      </c>
      <c r="S7" s="2" t="s">
        <v>177</v>
      </c>
      <c r="T7" s="2" t="s">
        <v>186</v>
      </c>
      <c r="U7" s="2" t="s">
        <v>219</v>
      </c>
      <c r="V7" s="2" t="s">
        <v>249</v>
      </c>
      <c r="W7" s="2" t="s">
        <v>291</v>
      </c>
      <c r="X7" s="2" t="s">
        <v>300</v>
      </c>
      <c r="Y7" s="2" t="s">
        <v>270</v>
      </c>
      <c r="AA7" s="18" t="s">
        <v>361</v>
      </c>
      <c r="AB7" s="18" t="s">
        <v>657</v>
      </c>
      <c r="AC7" s="18" t="s">
        <v>1195</v>
      </c>
      <c r="AD7" s="18" t="s">
        <v>1749</v>
      </c>
      <c r="AE7" s="18" t="s">
        <v>2070</v>
      </c>
      <c r="AG7" s="18" t="s">
        <v>2668</v>
      </c>
      <c r="AI7" s="18" t="s">
        <v>2680</v>
      </c>
      <c r="AJ7" s="18" t="s">
        <v>2427</v>
      </c>
      <c r="AK7" s="18" t="s">
        <v>2686</v>
      </c>
      <c r="AL7" s="18"/>
      <c r="AM7" s="18"/>
      <c r="AN7" s="18"/>
      <c r="AP7" s="18" t="s">
        <v>2974</v>
      </c>
      <c r="AQ7" s="18" t="s">
        <v>2736</v>
      </c>
      <c r="AR7" s="18" t="s">
        <v>2730</v>
      </c>
      <c r="AS7" s="18" t="s">
        <v>2742</v>
      </c>
      <c r="AT7" s="18"/>
      <c r="AU7" s="18"/>
      <c r="AW7" s="18" t="s">
        <v>2812</v>
      </c>
      <c r="AX7" s="18"/>
      <c r="AY7" s="18"/>
      <c r="AZ7" s="18"/>
      <c r="BA7" s="18"/>
      <c r="BB7" s="18"/>
      <c r="BD7" s="18" t="s">
        <v>2874</v>
      </c>
      <c r="BE7" s="18"/>
      <c r="BF7" s="18" t="s">
        <v>2885</v>
      </c>
      <c r="BG7" s="18" t="s">
        <v>4039</v>
      </c>
      <c r="BH7" s="18"/>
      <c r="BI7" s="18"/>
      <c r="BK7" s="18" t="s">
        <v>4031</v>
      </c>
      <c r="BL7" s="18">
        <v>9</v>
      </c>
    </row>
    <row r="8" spans="2:68">
      <c r="B8" s="1" t="s">
        <v>340</v>
      </c>
      <c r="C8" s="2" t="s">
        <v>344</v>
      </c>
      <c r="D8" s="2"/>
      <c r="E8" s="2" t="s">
        <v>7</v>
      </c>
      <c r="F8" s="2" t="s">
        <v>28</v>
      </c>
      <c r="G8" s="2" t="s">
        <v>41</v>
      </c>
      <c r="H8" s="2" t="s">
        <v>52</v>
      </c>
      <c r="I8" s="2" t="s">
        <v>65</v>
      </c>
      <c r="J8" s="2" t="s">
        <v>74</v>
      </c>
      <c r="K8" s="2" t="s">
        <v>95</v>
      </c>
      <c r="L8" s="2" t="s">
        <v>100</v>
      </c>
      <c r="M8" s="2" t="s">
        <v>111</v>
      </c>
      <c r="N8" s="2" t="s">
        <v>329</v>
      </c>
      <c r="O8" s="2" t="s">
        <v>135</v>
      </c>
      <c r="P8" s="2" t="s">
        <v>144</v>
      </c>
      <c r="Q8" s="2" t="s">
        <v>157</v>
      </c>
      <c r="R8" s="2" t="s">
        <v>170</v>
      </c>
      <c r="S8" s="2" t="s">
        <v>178</v>
      </c>
      <c r="T8" s="2" t="s">
        <v>187</v>
      </c>
      <c r="U8" s="2" t="s">
        <v>220</v>
      </c>
      <c r="V8" s="2" t="s">
        <v>250</v>
      </c>
      <c r="W8" s="2" t="s">
        <v>292</v>
      </c>
      <c r="X8" s="2" t="s">
        <v>301</v>
      </c>
      <c r="Y8" s="2" t="s">
        <v>271</v>
      </c>
      <c r="AA8" s="18" t="s">
        <v>362</v>
      </c>
      <c r="AB8" s="18" t="s">
        <v>658</v>
      </c>
      <c r="AC8" s="18" t="s">
        <v>1196</v>
      </c>
      <c r="AD8" s="18" t="s">
        <v>1750</v>
      </c>
      <c r="AE8" s="18" t="s">
        <v>2071</v>
      </c>
      <c r="AG8" s="18" t="s">
        <v>2669</v>
      </c>
      <c r="AI8" s="18" t="s">
        <v>2681</v>
      </c>
      <c r="AJ8" s="18" t="s">
        <v>2691</v>
      </c>
      <c r="AK8" s="18" t="s">
        <v>2687</v>
      </c>
      <c r="AL8" s="18"/>
      <c r="AM8" s="18"/>
      <c r="AN8" s="18"/>
      <c r="AP8" s="18" t="s">
        <v>2576</v>
      </c>
      <c r="AQ8" s="18" t="s">
        <v>2737</v>
      </c>
      <c r="AR8" s="18" t="s">
        <v>2731</v>
      </c>
      <c r="AS8" s="18" t="s">
        <v>2743</v>
      </c>
      <c r="AT8" s="18"/>
      <c r="AU8" s="18"/>
      <c r="AW8" s="18" t="s">
        <v>2813</v>
      </c>
      <c r="AX8" s="18"/>
      <c r="AY8" s="18"/>
      <c r="AZ8" s="18"/>
      <c r="BA8" s="18"/>
      <c r="BB8" s="18"/>
      <c r="BD8" s="18" t="s">
        <v>2875</v>
      </c>
      <c r="BE8" s="18"/>
      <c r="BF8" s="18" t="s">
        <v>2886</v>
      </c>
      <c r="BG8" s="18" t="s">
        <v>2880</v>
      </c>
      <c r="BH8" s="18"/>
      <c r="BI8" s="18"/>
      <c r="BK8" s="18" t="s">
        <v>4027</v>
      </c>
      <c r="BL8" s="18">
        <v>9</v>
      </c>
    </row>
    <row r="9" spans="2:68">
      <c r="B9" s="2" t="s">
        <v>340</v>
      </c>
      <c r="C9" s="2" t="s">
        <v>345</v>
      </c>
      <c r="D9" s="2"/>
      <c r="E9" s="2" t="s">
        <v>8</v>
      </c>
      <c r="F9" s="2" t="s">
        <v>29</v>
      </c>
      <c r="G9" s="2" t="s">
        <v>42</v>
      </c>
      <c r="H9" s="2" t="s">
        <v>53</v>
      </c>
      <c r="I9" s="2" t="s">
        <v>66</v>
      </c>
      <c r="J9" s="2" t="s">
        <v>75</v>
      </c>
      <c r="K9" s="2" t="s">
        <v>96</v>
      </c>
      <c r="L9" s="2" t="s">
        <v>100</v>
      </c>
      <c r="M9" s="2" t="s">
        <v>112</v>
      </c>
      <c r="N9" s="2" t="s">
        <v>329</v>
      </c>
      <c r="O9" s="2" t="s">
        <v>136</v>
      </c>
      <c r="P9" s="2" t="s">
        <v>145</v>
      </c>
      <c r="Q9" s="2" t="s">
        <v>158</v>
      </c>
      <c r="R9" s="2"/>
      <c r="S9" s="2" t="s">
        <v>179</v>
      </c>
      <c r="T9" s="2" t="s">
        <v>188</v>
      </c>
      <c r="U9" s="2" t="s">
        <v>221</v>
      </c>
      <c r="V9" s="2" t="s">
        <v>251</v>
      </c>
      <c r="W9" s="2" t="s">
        <v>293</v>
      </c>
      <c r="X9" s="2" t="s">
        <v>302</v>
      </c>
      <c r="Y9" s="2" t="s">
        <v>272</v>
      </c>
      <c r="AA9" s="18" t="s">
        <v>363</v>
      </c>
      <c r="AB9" s="18" t="s">
        <v>659</v>
      </c>
      <c r="AC9" s="18" t="s">
        <v>1197</v>
      </c>
      <c r="AD9" s="18" t="s">
        <v>1751</v>
      </c>
      <c r="AE9" s="18" t="s">
        <v>2072</v>
      </c>
      <c r="AG9" s="18" t="s">
        <v>2670</v>
      </c>
      <c r="AP9" s="18"/>
      <c r="AQ9" s="18"/>
      <c r="AR9" s="18"/>
      <c r="AS9" s="18"/>
      <c r="AT9" s="18"/>
      <c r="AU9" s="18"/>
      <c r="BK9" s="18" t="s">
        <v>4032</v>
      </c>
      <c r="BL9" s="18">
        <v>9</v>
      </c>
    </row>
    <row r="10" spans="2:68">
      <c r="B10" s="2" t="s">
        <v>340</v>
      </c>
      <c r="C10" s="2" t="s">
        <v>346</v>
      </c>
      <c r="D10" s="2"/>
      <c r="E10" s="2" t="s">
        <v>9</v>
      </c>
      <c r="F10" s="2" t="s">
        <v>30</v>
      </c>
      <c r="G10" s="2" t="s">
        <v>43</v>
      </c>
      <c r="H10" s="2" t="s">
        <v>54</v>
      </c>
      <c r="I10" s="2" t="s">
        <v>327</v>
      </c>
      <c r="J10" s="2" t="s">
        <v>76</v>
      </c>
      <c r="K10" s="2" t="s">
        <v>327</v>
      </c>
      <c r="L10" s="2" t="s">
        <v>100</v>
      </c>
      <c r="M10" s="2" t="s">
        <v>113</v>
      </c>
      <c r="N10" s="2" t="s">
        <v>329</v>
      </c>
      <c r="O10" s="1" t="s">
        <v>330</v>
      </c>
      <c r="P10" s="2" t="s">
        <v>146</v>
      </c>
      <c r="Q10" s="2" t="s">
        <v>159</v>
      </c>
      <c r="R10" s="2"/>
      <c r="S10" s="2"/>
      <c r="T10" s="2" t="s">
        <v>189</v>
      </c>
      <c r="U10" s="2" t="s">
        <v>222</v>
      </c>
      <c r="V10" s="2" t="s">
        <v>252</v>
      </c>
      <c r="W10" s="2"/>
      <c r="X10" s="2" t="s">
        <v>303</v>
      </c>
      <c r="Y10" s="2" t="s">
        <v>273</v>
      </c>
      <c r="AA10" s="18" t="s">
        <v>612</v>
      </c>
      <c r="AB10" s="18" t="s">
        <v>660</v>
      </c>
      <c r="AC10" s="18" t="s">
        <v>1198</v>
      </c>
      <c r="AD10" s="18" t="s">
        <v>1752</v>
      </c>
      <c r="AE10" s="18" t="s">
        <v>2073</v>
      </c>
      <c r="AG10" s="18" t="s">
        <v>2671</v>
      </c>
      <c r="AP10" s="18"/>
      <c r="AQ10" s="18"/>
      <c r="AR10" s="18"/>
      <c r="AS10" s="18"/>
      <c r="AT10" s="18"/>
      <c r="AU10" s="18"/>
      <c r="BK10" s="18" t="s">
        <v>4024</v>
      </c>
      <c r="BL10" s="18">
        <v>9</v>
      </c>
    </row>
    <row r="11" spans="2:68">
      <c r="B11" s="2" t="s">
        <v>340</v>
      </c>
      <c r="C11" s="2" t="s">
        <v>344</v>
      </c>
      <c r="D11" s="2"/>
      <c r="E11" s="2" t="s">
        <v>10</v>
      </c>
      <c r="F11" s="2" t="s">
        <v>31</v>
      </c>
      <c r="G11" s="2" t="s">
        <v>44</v>
      </c>
      <c r="H11" s="2" t="s">
        <v>55</v>
      </c>
      <c r="I11" s="2" t="s">
        <v>327</v>
      </c>
      <c r="J11" s="2" t="s">
        <v>77</v>
      </c>
      <c r="K11" s="2" t="s">
        <v>327</v>
      </c>
      <c r="L11" s="2" t="s">
        <v>100</v>
      </c>
      <c r="M11" s="2" t="s">
        <v>114</v>
      </c>
      <c r="N11" s="2" t="s">
        <v>329</v>
      </c>
      <c r="O11" s="1" t="s">
        <v>330</v>
      </c>
      <c r="P11" s="2" t="s">
        <v>147</v>
      </c>
      <c r="Q11" s="2" t="s">
        <v>160</v>
      </c>
      <c r="R11" s="2"/>
      <c r="S11" s="2"/>
      <c r="T11" s="2" t="s">
        <v>190</v>
      </c>
      <c r="U11" s="2" t="s">
        <v>223</v>
      </c>
      <c r="V11" s="2" t="s">
        <v>253</v>
      </c>
      <c r="W11" s="2"/>
      <c r="X11" s="2" t="s">
        <v>304</v>
      </c>
      <c r="Y11" s="2" t="s">
        <v>274</v>
      </c>
      <c r="AA11" s="18" t="s">
        <v>364</v>
      </c>
      <c r="AB11" s="18" t="s">
        <v>661</v>
      </c>
      <c r="AC11" s="18" t="s">
        <v>1199</v>
      </c>
      <c r="AD11" s="18" t="s">
        <v>1753</v>
      </c>
      <c r="AE11" s="18" t="s">
        <v>2074</v>
      </c>
      <c r="AG11" s="18" t="s">
        <v>2980</v>
      </c>
      <c r="AP11" s="18"/>
      <c r="AQ11" s="18"/>
      <c r="AR11" s="18"/>
      <c r="AS11" s="18"/>
      <c r="AT11" s="18"/>
      <c r="AU11" s="18"/>
      <c r="BK11" s="18" t="s">
        <v>4030</v>
      </c>
      <c r="BL11" s="18">
        <v>9</v>
      </c>
    </row>
    <row r="12" spans="2:68">
      <c r="B12" s="2" t="s">
        <v>340</v>
      </c>
      <c r="C12" s="2" t="s">
        <v>345</v>
      </c>
      <c r="D12" s="2"/>
      <c r="E12" s="2" t="s">
        <v>11</v>
      </c>
      <c r="F12" s="2" t="s">
        <v>32</v>
      </c>
      <c r="G12" s="2" t="s">
        <v>327</v>
      </c>
      <c r="H12" s="2" t="s">
        <v>56</v>
      </c>
      <c r="I12" s="2" t="s">
        <v>327</v>
      </c>
      <c r="J12" s="2" t="s">
        <v>78</v>
      </c>
      <c r="K12" s="2" t="s">
        <v>327</v>
      </c>
      <c r="L12" s="2" t="s">
        <v>100</v>
      </c>
      <c r="M12" s="2" t="s">
        <v>115</v>
      </c>
      <c r="N12" s="2" t="s">
        <v>329</v>
      </c>
      <c r="O12" s="1" t="s">
        <v>330</v>
      </c>
      <c r="P12" s="2" t="s">
        <v>148</v>
      </c>
      <c r="Q12" s="2" t="s">
        <v>161</v>
      </c>
      <c r="R12" s="2"/>
      <c r="S12" s="2"/>
      <c r="T12" s="2" t="s">
        <v>191</v>
      </c>
      <c r="U12" s="2" t="s">
        <v>224</v>
      </c>
      <c r="V12" s="2" t="s">
        <v>254</v>
      </c>
      <c r="W12" s="2"/>
      <c r="X12" s="2" t="s">
        <v>305</v>
      </c>
      <c r="Y12" s="2" t="s">
        <v>275</v>
      </c>
      <c r="AA12" s="18" t="s">
        <v>365</v>
      </c>
      <c r="AB12" s="18" t="s">
        <v>727</v>
      </c>
      <c r="AC12" s="18" t="s">
        <v>1200</v>
      </c>
      <c r="AD12" s="18" t="s">
        <v>1754</v>
      </c>
      <c r="AE12" s="18" t="s">
        <v>2075</v>
      </c>
      <c r="AG12" s="18" t="s">
        <v>2981</v>
      </c>
      <c r="AP12" s="18"/>
      <c r="AQ12" s="18"/>
      <c r="AR12" s="18"/>
      <c r="AS12" s="18"/>
      <c r="AT12" s="18"/>
      <c r="AU12" s="18"/>
      <c r="BK12" s="18" t="s">
        <v>4026</v>
      </c>
      <c r="BL12" s="18">
        <v>9</v>
      </c>
    </row>
    <row r="13" spans="2:68">
      <c r="B13" s="2" t="s">
        <v>340</v>
      </c>
      <c r="C13" s="2" t="s">
        <v>346</v>
      </c>
      <c r="D13" s="2"/>
      <c r="E13" s="2" t="s">
        <v>12</v>
      </c>
      <c r="F13" s="2" t="s">
        <v>33</v>
      </c>
      <c r="G13" s="2" t="s">
        <v>327</v>
      </c>
      <c r="H13" s="2" t="s">
        <v>57</v>
      </c>
      <c r="I13" s="2" t="s">
        <v>327</v>
      </c>
      <c r="J13" s="2" t="s">
        <v>79</v>
      </c>
      <c r="K13" s="2" t="s">
        <v>327</v>
      </c>
      <c r="L13" s="2"/>
      <c r="M13" s="2" t="s">
        <v>116</v>
      </c>
      <c r="N13" s="2"/>
      <c r="O13" s="1" t="s">
        <v>330</v>
      </c>
      <c r="P13" s="2" t="s">
        <v>149</v>
      </c>
      <c r="Q13" s="2" t="s">
        <v>162</v>
      </c>
      <c r="R13" s="2"/>
      <c r="S13" s="2"/>
      <c r="T13" s="2" t="s">
        <v>192</v>
      </c>
      <c r="U13" s="2" t="s">
        <v>225</v>
      </c>
      <c r="V13" s="2" t="s">
        <v>255</v>
      </c>
      <c r="W13" s="2"/>
      <c r="X13" s="2" t="s">
        <v>306</v>
      </c>
      <c r="Y13" s="2" t="s">
        <v>276</v>
      </c>
      <c r="AA13" s="18" t="s">
        <v>366</v>
      </c>
      <c r="AB13" s="18" t="s">
        <v>662</v>
      </c>
      <c r="AC13" s="18" t="s">
        <v>1201</v>
      </c>
      <c r="AD13" s="18" t="s">
        <v>1755</v>
      </c>
      <c r="AE13" s="18" t="s">
        <v>1755</v>
      </c>
      <c r="AG13" s="18" t="s">
        <v>2982</v>
      </c>
      <c r="BK13" s="18" t="s">
        <v>4019</v>
      </c>
      <c r="BL13" s="18">
        <v>9</v>
      </c>
    </row>
    <row r="14" spans="2:68">
      <c r="B14" s="2" t="s">
        <v>2349</v>
      </c>
      <c r="C14" s="2" t="s">
        <v>344</v>
      </c>
      <c r="D14" s="2"/>
      <c r="E14" s="2" t="s">
        <v>13</v>
      </c>
      <c r="F14" s="2" t="s">
        <v>327</v>
      </c>
      <c r="G14" s="2" t="s">
        <v>327</v>
      </c>
      <c r="H14" s="2" t="s">
        <v>327</v>
      </c>
      <c r="I14" s="2" t="s">
        <v>327</v>
      </c>
      <c r="J14" s="2" t="s">
        <v>80</v>
      </c>
      <c r="K14" s="2" t="s">
        <v>327</v>
      </c>
      <c r="L14" s="2"/>
      <c r="M14" s="2" t="s">
        <v>117</v>
      </c>
      <c r="N14" s="2"/>
      <c r="O14" s="1" t="s">
        <v>330</v>
      </c>
      <c r="P14" s="1" t="s">
        <v>331</v>
      </c>
      <c r="Q14" s="2" t="s">
        <v>151</v>
      </c>
      <c r="R14" s="2"/>
      <c r="S14" s="2"/>
      <c r="T14" s="2" t="s">
        <v>193</v>
      </c>
      <c r="U14" s="2" t="s">
        <v>226</v>
      </c>
      <c r="V14" s="2" t="s">
        <v>256</v>
      </c>
      <c r="W14" s="2"/>
      <c r="X14" s="2" t="s">
        <v>307</v>
      </c>
      <c r="Y14" s="2" t="s">
        <v>277</v>
      </c>
      <c r="AA14" s="18" t="s">
        <v>613</v>
      </c>
      <c r="AB14" s="18" t="s">
        <v>663</v>
      </c>
      <c r="AC14" s="18" t="s">
        <v>1202</v>
      </c>
      <c r="AD14" s="18" t="s">
        <v>1756</v>
      </c>
      <c r="AE14" s="18" t="s">
        <v>2076</v>
      </c>
      <c r="AG14" s="18" t="s">
        <v>2672</v>
      </c>
      <c r="AP14" s="18"/>
      <c r="AQ14" s="18"/>
      <c r="AR14" s="18"/>
      <c r="AS14" s="18"/>
      <c r="AT14" s="18"/>
      <c r="AU14" s="18"/>
      <c r="BK14" s="18" t="s">
        <v>4018</v>
      </c>
      <c r="BL14" s="18">
        <v>9</v>
      </c>
    </row>
    <row r="15" spans="2:68">
      <c r="B15" s="2"/>
      <c r="C15" s="2" t="s">
        <v>345</v>
      </c>
      <c r="D15" s="2"/>
      <c r="E15" s="2" t="s">
        <v>14</v>
      </c>
      <c r="F15" s="2" t="s">
        <v>327</v>
      </c>
      <c r="G15" s="2" t="s">
        <v>327</v>
      </c>
      <c r="H15" s="2" t="s">
        <v>327</v>
      </c>
      <c r="I15" s="2"/>
      <c r="J15" s="2" t="s">
        <v>81</v>
      </c>
      <c r="K15" s="2" t="s">
        <v>327</v>
      </c>
      <c r="L15" s="2"/>
      <c r="M15" s="2" t="s">
        <v>118</v>
      </c>
      <c r="N15" s="2"/>
      <c r="O15" s="1" t="s">
        <v>330</v>
      </c>
      <c r="P15" s="1" t="s">
        <v>331</v>
      </c>
      <c r="Q15" s="2" t="s">
        <v>152</v>
      </c>
      <c r="R15" s="2"/>
      <c r="S15" s="2"/>
      <c r="T15" s="2" t="s">
        <v>194</v>
      </c>
      <c r="U15" s="2" t="s">
        <v>193</v>
      </c>
      <c r="V15" s="2" t="s">
        <v>257</v>
      </c>
      <c r="W15" s="2"/>
      <c r="X15" s="2" t="s">
        <v>308</v>
      </c>
      <c r="Y15" s="2" t="s">
        <v>278</v>
      </c>
      <c r="AA15" s="18" t="s">
        <v>367</v>
      </c>
      <c r="AB15" s="18" t="s">
        <v>728</v>
      </c>
      <c r="AC15" s="18" t="s">
        <v>1203</v>
      </c>
      <c r="AD15" s="18" t="s">
        <v>1757</v>
      </c>
      <c r="AE15" s="18" t="s">
        <v>2077</v>
      </c>
      <c r="AG15" s="18" t="s">
        <v>2992</v>
      </c>
      <c r="AP15" s="18"/>
      <c r="AQ15" s="18"/>
      <c r="AR15" s="18"/>
      <c r="AS15" s="18"/>
      <c r="AT15" s="18"/>
      <c r="AU15" s="18"/>
      <c r="BK15" s="18" t="s">
        <v>4022</v>
      </c>
      <c r="BL15" s="18">
        <v>9</v>
      </c>
    </row>
    <row r="16" spans="2:68">
      <c r="B16" s="2"/>
      <c r="C16" s="2" t="s">
        <v>346</v>
      </c>
      <c r="D16" s="2"/>
      <c r="E16" s="2" t="s">
        <v>15</v>
      </c>
      <c r="F16" s="2" t="s">
        <v>327</v>
      </c>
      <c r="G16" s="2"/>
      <c r="H16" s="2" t="s">
        <v>327</v>
      </c>
      <c r="I16" s="2"/>
      <c r="J16" s="2" t="s">
        <v>82</v>
      </c>
      <c r="K16" s="2"/>
      <c r="L16" s="2"/>
      <c r="M16" s="2" t="s">
        <v>119</v>
      </c>
      <c r="N16" s="2"/>
      <c r="O16" s="1" t="s">
        <v>330</v>
      </c>
      <c r="P16" s="1" t="s">
        <v>331</v>
      </c>
      <c r="Q16" s="2" t="s">
        <v>153</v>
      </c>
      <c r="R16" s="2"/>
      <c r="S16" s="2"/>
      <c r="T16" s="2" t="s">
        <v>195</v>
      </c>
      <c r="U16" s="2" t="s">
        <v>227</v>
      </c>
      <c r="V16" s="2" t="s">
        <v>258</v>
      </c>
      <c r="W16" s="2"/>
      <c r="X16" s="2" t="s">
        <v>309</v>
      </c>
      <c r="Y16" s="2" t="s">
        <v>279</v>
      </c>
      <c r="AA16" s="18" t="s">
        <v>368</v>
      </c>
      <c r="AB16" s="18" t="s">
        <v>738</v>
      </c>
      <c r="AC16" s="18" t="s">
        <v>1204</v>
      </c>
      <c r="AD16" s="18" t="s">
        <v>1758</v>
      </c>
      <c r="AE16" s="18" t="s">
        <v>2078</v>
      </c>
      <c r="AG16" s="18" t="s">
        <v>2673</v>
      </c>
      <c r="AP16" s="18"/>
      <c r="AQ16" s="18"/>
      <c r="AR16" s="18"/>
      <c r="AS16" s="18"/>
      <c r="AT16" s="18"/>
      <c r="AU16" s="18"/>
      <c r="BK16" s="18" t="s">
        <v>4021</v>
      </c>
      <c r="BL16" s="18">
        <v>9</v>
      </c>
    </row>
    <row r="17" spans="2:64">
      <c r="B17" s="2"/>
      <c r="C17" s="2" t="s">
        <v>344</v>
      </c>
      <c r="D17" s="2"/>
      <c r="E17" s="2" t="s">
        <v>16</v>
      </c>
      <c r="F17" s="2" t="s">
        <v>327</v>
      </c>
      <c r="G17" s="2"/>
      <c r="H17" s="2" t="s">
        <v>327</v>
      </c>
      <c r="I17" s="2"/>
      <c r="J17" s="2" t="s">
        <v>83</v>
      </c>
      <c r="K17" s="2"/>
      <c r="L17" s="2"/>
      <c r="M17" s="2" t="s">
        <v>120</v>
      </c>
      <c r="N17" s="2"/>
      <c r="P17" s="1" t="s">
        <v>331</v>
      </c>
      <c r="Q17" s="2" t="s">
        <v>154</v>
      </c>
      <c r="R17" s="2"/>
      <c r="S17" s="2"/>
      <c r="T17" s="2" t="s">
        <v>196</v>
      </c>
      <c r="U17" s="2" t="s">
        <v>228</v>
      </c>
      <c r="V17" s="2" t="s">
        <v>259</v>
      </c>
      <c r="W17" s="2"/>
      <c r="X17" s="2" t="s">
        <v>310</v>
      </c>
      <c r="Y17" s="2" t="s">
        <v>280</v>
      </c>
      <c r="AA17" s="18" t="s">
        <v>369</v>
      </c>
      <c r="AB17" s="18" t="s">
        <v>739</v>
      </c>
      <c r="AC17" s="18" t="s">
        <v>1205</v>
      </c>
      <c r="AD17" s="18" t="s">
        <v>1759</v>
      </c>
      <c r="AE17" s="18" t="s">
        <v>1763</v>
      </c>
      <c r="AG17" s="18" t="s">
        <v>2993</v>
      </c>
      <c r="AP17" s="18"/>
      <c r="AQ17" s="18"/>
      <c r="AR17" s="18"/>
      <c r="AS17" s="18"/>
      <c r="AT17" s="18"/>
      <c r="AU17" s="18"/>
      <c r="BK17" s="18" t="s">
        <v>4014</v>
      </c>
      <c r="BL17" s="18">
        <v>9</v>
      </c>
    </row>
    <row r="18" spans="2:64">
      <c r="B18" s="2"/>
      <c r="C18" s="2" t="s">
        <v>345</v>
      </c>
      <c r="D18" s="2"/>
      <c r="E18" s="2" t="s">
        <v>17</v>
      </c>
      <c r="F18" s="2"/>
      <c r="G18" s="2"/>
      <c r="H18" s="2"/>
      <c r="I18" s="2"/>
      <c r="J18" s="2" t="s">
        <v>84</v>
      </c>
      <c r="K18" s="2"/>
      <c r="L18" s="2"/>
      <c r="M18" s="2" t="s">
        <v>121</v>
      </c>
      <c r="N18" s="2"/>
      <c r="P18" s="1" t="s">
        <v>331</v>
      </c>
      <c r="Q18" s="2" t="s">
        <v>155</v>
      </c>
      <c r="R18" s="2"/>
      <c r="S18" s="2"/>
      <c r="T18" s="2" t="s">
        <v>197</v>
      </c>
      <c r="U18" s="2" t="s">
        <v>229</v>
      </c>
      <c r="V18" s="2" t="s">
        <v>260</v>
      </c>
      <c r="W18" s="2"/>
      <c r="X18" s="2" t="s">
        <v>311</v>
      </c>
      <c r="Y18" s="2" t="s">
        <v>281</v>
      </c>
      <c r="AA18" s="18" t="s">
        <v>370</v>
      </c>
      <c r="AB18" s="18" t="s">
        <v>664</v>
      </c>
      <c r="AC18" s="18" t="s">
        <v>1206</v>
      </c>
      <c r="AD18" s="18" t="s">
        <v>1760</v>
      </c>
      <c r="AE18" s="18" t="s">
        <v>2079</v>
      </c>
      <c r="AG18" s="18" t="s">
        <v>2674</v>
      </c>
      <c r="AP18" s="18"/>
      <c r="AQ18" s="18"/>
      <c r="AR18" s="18"/>
      <c r="AS18" s="18"/>
      <c r="AT18" s="18"/>
      <c r="AU18" s="18"/>
      <c r="BK18" s="18" t="s">
        <v>4015</v>
      </c>
      <c r="BL18" s="18">
        <v>9</v>
      </c>
    </row>
    <row r="19" spans="2:64">
      <c r="B19" s="2"/>
      <c r="C19" s="2" t="s">
        <v>346</v>
      </c>
      <c r="D19" s="2"/>
      <c r="E19" s="2" t="s">
        <v>18</v>
      </c>
      <c r="F19" s="2"/>
      <c r="G19" s="2"/>
      <c r="H19" s="2"/>
      <c r="I19" s="2"/>
      <c r="J19" s="2" t="s">
        <v>85</v>
      </c>
      <c r="K19" s="2"/>
      <c r="L19" s="2"/>
      <c r="M19" s="2" t="s">
        <v>122</v>
      </c>
      <c r="N19" s="2"/>
      <c r="P19" s="1" t="s">
        <v>331</v>
      </c>
      <c r="Q19" s="2" t="s">
        <v>156</v>
      </c>
      <c r="R19" s="2"/>
      <c r="S19" s="2"/>
      <c r="T19" s="2" t="s">
        <v>198</v>
      </c>
      <c r="U19" s="2" t="s">
        <v>230</v>
      </c>
      <c r="V19" s="2" t="s">
        <v>261</v>
      </c>
      <c r="W19" s="2"/>
      <c r="X19" s="2" t="s">
        <v>312</v>
      </c>
      <c r="Y19" s="2" t="s">
        <v>282</v>
      </c>
      <c r="AA19" s="18" t="s">
        <v>371</v>
      </c>
      <c r="AB19" s="18" t="s">
        <v>665</v>
      </c>
      <c r="AC19" s="18" t="s">
        <v>1207</v>
      </c>
      <c r="AD19" s="18" t="s">
        <v>1761</v>
      </c>
      <c r="AE19" s="18" t="s">
        <v>2080</v>
      </c>
      <c r="AG19" s="18" t="s">
        <v>2675</v>
      </c>
      <c r="AI19" s="18" t="s">
        <v>2955</v>
      </c>
      <c r="AJ19" s="18" t="s">
        <v>2957</v>
      </c>
      <c r="AP19" s="18" t="s">
        <v>2955</v>
      </c>
      <c r="AQ19" s="18" t="s">
        <v>2975</v>
      </c>
      <c r="AR19" s="18"/>
      <c r="AS19" s="18"/>
      <c r="AT19" s="18"/>
      <c r="AU19" s="18"/>
      <c r="AW19" s="18" t="s">
        <v>2955</v>
      </c>
      <c r="AX19" s="18" t="s">
        <v>2979</v>
      </c>
      <c r="BD19" s="18" t="s">
        <v>2955</v>
      </c>
      <c r="BE19" s="18" t="s">
        <v>2991</v>
      </c>
      <c r="BK19" s="18" t="s">
        <v>4016</v>
      </c>
      <c r="BL19" s="18">
        <v>9</v>
      </c>
    </row>
    <row r="20" spans="2:64">
      <c r="C20" s="2" t="s">
        <v>345</v>
      </c>
      <c r="D20" s="2"/>
      <c r="E20" s="2" t="s">
        <v>19</v>
      </c>
      <c r="F20" s="2"/>
      <c r="G20" s="2"/>
      <c r="H20" s="2"/>
      <c r="I20" s="2"/>
      <c r="J20" s="2" t="s">
        <v>86</v>
      </c>
      <c r="K20" s="2"/>
      <c r="L20" s="2"/>
      <c r="M20" s="2" t="s">
        <v>123</v>
      </c>
      <c r="N20" s="2"/>
      <c r="P20" s="1" t="s">
        <v>331</v>
      </c>
      <c r="Q20" s="2" t="s">
        <v>157</v>
      </c>
      <c r="R20" s="2"/>
      <c r="S20" s="2"/>
      <c r="T20" s="2" t="s">
        <v>199</v>
      </c>
      <c r="U20" s="2" t="s">
        <v>231</v>
      </c>
      <c r="V20" s="2" t="s">
        <v>262</v>
      </c>
      <c r="W20" s="2"/>
      <c r="X20" s="2" t="s">
        <v>313</v>
      </c>
      <c r="Y20" s="2" t="s">
        <v>283</v>
      </c>
      <c r="AA20" s="18" t="s">
        <v>372</v>
      </c>
      <c r="AB20" s="18" t="s">
        <v>740</v>
      </c>
      <c r="AC20" s="18" t="s">
        <v>1208</v>
      </c>
      <c r="AD20" s="18" t="s">
        <v>1762</v>
      </c>
      <c r="AE20" s="18" t="s">
        <v>2081</v>
      </c>
      <c r="AG20" s="18" t="s">
        <v>2983</v>
      </c>
      <c r="AI20" s="18" t="s">
        <v>1029</v>
      </c>
      <c r="AJ20" s="18" t="s">
        <v>1187</v>
      </c>
      <c r="AK20" s="18" t="s">
        <v>1028</v>
      </c>
      <c r="AL20" s="18" t="s">
        <v>1021</v>
      </c>
      <c r="AM20" s="18" t="s">
        <v>2952</v>
      </c>
      <c r="AN20" s="18" t="s">
        <v>2954</v>
      </c>
      <c r="AP20" s="18" t="s">
        <v>1029</v>
      </c>
      <c r="AQ20" s="18" t="s">
        <v>1187</v>
      </c>
      <c r="AR20" s="18" t="s">
        <v>1028</v>
      </c>
      <c r="AS20" s="18" t="s">
        <v>1021</v>
      </c>
      <c r="AT20" s="18" t="s">
        <v>2952</v>
      </c>
      <c r="AU20" s="18" t="s">
        <v>2954</v>
      </c>
      <c r="AW20" s="18" t="s">
        <v>1029</v>
      </c>
      <c r="AX20" s="18" t="s">
        <v>1187</v>
      </c>
      <c r="AY20" s="18" t="s">
        <v>1028</v>
      </c>
      <c r="AZ20" s="18" t="s">
        <v>1021</v>
      </c>
      <c r="BA20" s="18" t="s">
        <v>2952</v>
      </c>
      <c r="BB20" s="18" t="s">
        <v>2954</v>
      </c>
      <c r="BD20" s="18" t="s">
        <v>1029</v>
      </c>
      <c r="BE20" s="18" t="s">
        <v>1187</v>
      </c>
      <c r="BF20" s="18" t="s">
        <v>1028</v>
      </c>
      <c r="BG20" s="18" t="s">
        <v>1021</v>
      </c>
      <c r="BH20" s="18" t="s">
        <v>2952</v>
      </c>
      <c r="BI20" s="18" t="s">
        <v>2954</v>
      </c>
      <c r="BK20" s="18" t="s">
        <v>4020</v>
      </c>
      <c r="BL20" s="18">
        <v>9</v>
      </c>
    </row>
    <row r="21" spans="2:64">
      <c r="B21" s="2"/>
      <c r="C21" s="2" t="s">
        <v>346</v>
      </c>
      <c r="D21" s="2"/>
      <c r="E21" s="2" t="s">
        <v>20</v>
      </c>
      <c r="F21" s="2"/>
      <c r="G21" s="2"/>
      <c r="H21" s="2"/>
      <c r="I21" s="2"/>
      <c r="J21" s="2" t="s">
        <v>87</v>
      </c>
      <c r="K21" s="2"/>
      <c r="L21" s="2"/>
      <c r="M21" s="2" t="s">
        <v>124</v>
      </c>
      <c r="N21" s="2"/>
      <c r="P21" s="1" t="s">
        <v>331</v>
      </c>
      <c r="Q21" s="2" t="s">
        <v>158</v>
      </c>
      <c r="R21" s="2"/>
      <c r="S21" s="2"/>
      <c r="T21" s="2" t="s">
        <v>200</v>
      </c>
      <c r="U21" s="2" t="s">
        <v>232</v>
      </c>
      <c r="V21" s="2" t="s">
        <v>263</v>
      </c>
      <c r="W21" s="2"/>
      <c r="X21" s="2" t="s">
        <v>314</v>
      </c>
      <c r="Y21" s="2" t="s">
        <v>284</v>
      </c>
      <c r="AA21" s="18" t="s">
        <v>373</v>
      </c>
      <c r="AB21" s="18" t="s">
        <v>741</v>
      </c>
      <c r="AC21" s="18" t="s">
        <v>1209</v>
      </c>
      <c r="AD21" s="18" t="s">
        <v>1763</v>
      </c>
      <c r="AE21" s="18" t="s">
        <v>2082</v>
      </c>
      <c r="AG21" s="18"/>
      <c r="AI21" s="18" t="s">
        <v>2692</v>
      </c>
      <c r="AJ21" s="18" t="s">
        <v>2703</v>
      </c>
      <c r="AK21" s="18" t="s">
        <v>2697</v>
      </c>
      <c r="AL21" s="18"/>
      <c r="AM21" s="18"/>
      <c r="AN21" s="18"/>
      <c r="AP21" s="18" t="s">
        <v>2752</v>
      </c>
      <c r="AQ21" s="18" t="s">
        <v>2764</v>
      </c>
      <c r="AR21" s="18" t="s">
        <v>2758</v>
      </c>
      <c r="AS21" s="18"/>
      <c r="AT21" s="18"/>
      <c r="AU21" s="18"/>
      <c r="AW21" s="18" t="s">
        <v>2814</v>
      </c>
      <c r="AX21" s="18" t="s">
        <v>2826</v>
      </c>
      <c r="AY21" s="18" t="s">
        <v>2820</v>
      </c>
      <c r="AZ21" s="18"/>
      <c r="BA21" s="18"/>
      <c r="BB21" s="18"/>
      <c r="BD21" s="18" t="s">
        <v>2887</v>
      </c>
      <c r="BE21" s="18" t="s">
        <v>3004</v>
      </c>
      <c r="BF21" s="18" t="s">
        <v>2890</v>
      </c>
      <c r="BG21" s="18"/>
      <c r="BH21" s="18"/>
      <c r="BI21" s="18" t="s">
        <v>2994</v>
      </c>
      <c r="BK21" s="18" t="s">
        <v>4017</v>
      </c>
      <c r="BL21" s="18">
        <v>9</v>
      </c>
    </row>
    <row r="22" spans="2:64">
      <c r="B22" s="2"/>
      <c r="C22" s="2" t="s">
        <v>345</v>
      </c>
      <c r="D22" s="2"/>
      <c r="E22" s="1" t="s">
        <v>328</v>
      </c>
      <c r="F22" s="2"/>
      <c r="H22" s="2"/>
      <c r="I22" s="2"/>
      <c r="J22" s="2"/>
      <c r="K22" s="2"/>
      <c r="L22" s="2"/>
      <c r="M22" s="2"/>
      <c r="N22" s="2"/>
      <c r="Q22" s="2" t="s">
        <v>159</v>
      </c>
      <c r="R22" s="2"/>
      <c r="S22" s="2"/>
      <c r="T22" s="2" t="s">
        <v>201</v>
      </c>
      <c r="U22" s="2" t="s">
        <v>233</v>
      </c>
      <c r="V22" s="2" t="s">
        <v>244</v>
      </c>
      <c r="W22" s="2"/>
      <c r="X22" s="2" t="s">
        <v>315</v>
      </c>
      <c r="Y22" s="2" t="s">
        <v>265</v>
      </c>
      <c r="AA22" s="18" t="s">
        <v>614</v>
      </c>
      <c r="AB22" s="18" t="s">
        <v>666</v>
      </c>
      <c r="AC22" s="18" t="s">
        <v>1210</v>
      </c>
      <c r="AD22" s="18" t="s">
        <v>1765</v>
      </c>
      <c r="AE22" s="18" t="s">
        <v>2083</v>
      </c>
      <c r="AI22" s="18" t="s">
        <v>2693</v>
      </c>
      <c r="AJ22" s="18" t="s">
        <v>2704</v>
      </c>
      <c r="AK22" s="18" t="s">
        <v>2698</v>
      </c>
      <c r="AL22" s="18"/>
      <c r="AM22" s="18"/>
      <c r="AN22" s="18"/>
      <c r="AP22" s="18" t="s">
        <v>2753</v>
      </c>
      <c r="AQ22" s="18" t="s">
        <v>2765</v>
      </c>
      <c r="AR22" s="18" t="s">
        <v>2759</v>
      </c>
      <c r="AS22" s="18"/>
      <c r="AT22" s="18"/>
      <c r="AU22" s="18"/>
      <c r="AW22" s="18" t="s">
        <v>2815</v>
      </c>
      <c r="AX22" s="18" t="s">
        <v>2827</v>
      </c>
      <c r="AY22" s="18" t="s">
        <v>2821</v>
      </c>
      <c r="AZ22" s="18"/>
      <c r="BA22" s="18"/>
      <c r="BB22" s="18"/>
      <c r="BD22" s="18" t="s">
        <v>2783</v>
      </c>
      <c r="BE22" s="18" t="s">
        <v>3000</v>
      </c>
      <c r="BF22" s="18" t="s">
        <v>2891</v>
      </c>
      <c r="BG22" s="18"/>
      <c r="BH22" s="18"/>
      <c r="BI22" s="18" t="s">
        <v>2995</v>
      </c>
      <c r="BK22" s="18" t="s">
        <v>3701</v>
      </c>
      <c r="BL22" s="18">
        <v>11</v>
      </c>
    </row>
    <row r="23" spans="2:64">
      <c r="B23" s="2"/>
      <c r="C23" s="2" t="s">
        <v>346</v>
      </c>
      <c r="D23" s="2"/>
      <c r="E23" s="1" t="s">
        <v>328</v>
      </c>
      <c r="F23" s="2"/>
      <c r="H23" s="2"/>
      <c r="I23" s="2"/>
      <c r="J23" s="2"/>
      <c r="K23" s="2"/>
      <c r="L23" s="2"/>
      <c r="M23" s="2"/>
      <c r="N23" s="2"/>
      <c r="Q23" s="2" t="s">
        <v>160</v>
      </c>
      <c r="R23" s="2"/>
      <c r="S23" s="2"/>
      <c r="T23" s="2" t="s">
        <v>202</v>
      </c>
      <c r="U23" s="2" t="s">
        <v>234</v>
      </c>
      <c r="V23" s="2" t="s">
        <v>245</v>
      </c>
      <c r="W23" s="2"/>
      <c r="X23" s="2" t="s">
        <v>316</v>
      </c>
      <c r="Y23" s="2" t="s">
        <v>266</v>
      </c>
      <c r="AA23" s="18" t="s">
        <v>374</v>
      </c>
      <c r="AB23" s="18" t="s">
        <v>667</v>
      </c>
      <c r="AC23" s="18" t="s">
        <v>1211</v>
      </c>
      <c r="AD23" s="18" t="s">
        <v>1764</v>
      </c>
      <c r="AE23" s="18" t="s">
        <v>2084</v>
      </c>
      <c r="AI23" s="18" t="s">
        <v>2694</v>
      </c>
      <c r="AJ23" s="18" t="s">
        <v>2705</v>
      </c>
      <c r="AK23" s="18" t="s">
        <v>2699</v>
      </c>
      <c r="AL23" s="18"/>
      <c r="AM23" s="18"/>
      <c r="AN23" s="18"/>
      <c r="AP23" s="18" t="s">
        <v>2754</v>
      </c>
      <c r="AQ23" s="18" t="s">
        <v>2766</v>
      </c>
      <c r="AR23" s="18" t="s">
        <v>2760</v>
      </c>
      <c r="AS23" s="18"/>
      <c r="AT23" s="18"/>
      <c r="AU23" s="18"/>
      <c r="AW23" s="18" t="s">
        <v>2816</v>
      </c>
      <c r="AX23" s="18" t="s">
        <v>2828</v>
      </c>
      <c r="AY23" s="18" t="s">
        <v>2822</v>
      </c>
      <c r="AZ23" s="18"/>
      <c r="BA23" s="18"/>
      <c r="BB23" s="18"/>
      <c r="BD23" s="18" t="s">
        <v>2372</v>
      </c>
      <c r="BE23" s="18" t="s">
        <v>3001</v>
      </c>
      <c r="BF23" s="18" t="s">
        <v>2892</v>
      </c>
      <c r="BG23" s="18"/>
      <c r="BH23" s="18"/>
      <c r="BI23" s="18" t="s">
        <v>2996</v>
      </c>
      <c r="BK23" s="18" t="s">
        <v>3702</v>
      </c>
      <c r="BL23" s="18">
        <v>11</v>
      </c>
    </row>
    <row r="24" spans="2:64">
      <c r="B24" s="2"/>
      <c r="C24" s="2" t="s">
        <v>345</v>
      </c>
      <c r="D24" s="2"/>
      <c r="E24" s="1" t="s">
        <v>328</v>
      </c>
      <c r="F24" s="2"/>
      <c r="H24" s="2"/>
      <c r="I24" s="2"/>
      <c r="J24" s="2"/>
      <c r="K24" s="2"/>
      <c r="L24" s="2"/>
      <c r="M24" s="2"/>
      <c r="N24" s="2"/>
      <c r="Q24" s="2" t="s">
        <v>161</v>
      </c>
      <c r="R24" s="2"/>
      <c r="S24" s="2"/>
      <c r="T24" s="2" t="s">
        <v>203</v>
      </c>
      <c r="U24" s="2" t="s">
        <v>235</v>
      </c>
      <c r="V24" s="2" t="s">
        <v>246</v>
      </c>
      <c r="W24" s="2"/>
      <c r="X24" s="2" t="s">
        <v>317</v>
      </c>
      <c r="Y24" s="2" t="s">
        <v>267</v>
      </c>
      <c r="AA24" s="18" t="s">
        <v>375</v>
      </c>
      <c r="AB24" s="18" t="s">
        <v>668</v>
      </c>
      <c r="AC24" s="18" t="s">
        <v>1212</v>
      </c>
      <c r="AD24" s="18" t="s">
        <v>1766</v>
      </c>
      <c r="AE24" s="18" t="s">
        <v>2085</v>
      </c>
      <c r="AI24" s="18" t="s">
        <v>2695</v>
      </c>
      <c r="AJ24" s="18" t="s">
        <v>2706</v>
      </c>
      <c r="AK24" s="18" t="s">
        <v>2700</v>
      </c>
      <c r="AL24" s="18"/>
      <c r="AM24" s="18"/>
      <c r="AN24" s="18"/>
      <c r="AP24" s="18" t="s">
        <v>2755</v>
      </c>
      <c r="AQ24" s="18" t="s">
        <v>2767</v>
      </c>
      <c r="AR24" s="18" t="s">
        <v>2761</v>
      </c>
      <c r="AS24" s="18"/>
      <c r="AT24" s="18"/>
      <c r="AU24" s="18"/>
      <c r="AW24" s="18" t="s">
        <v>2817</v>
      </c>
      <c r="AX24" s="18" t="s">
        <v>2829</v>
      </c>
      <c r="AY24" s="18" t="s">
        <v>2823</v>
      </c>
      <c r="AZ24" s="18"/>
      <c r="BA24" s="18"/>
      <c r="BB24" s="18"/>
      <c r="BD24" s="18" t="s">
        <v>2784</v>
      </c>
      <c r="BE24" s="18" t="s">
        <v>3002</v>
      </c>
      <c r="BF24" s="18" t="s">
        <v>2893</v>
      </c>
      <c r="BG24" s="18"/>
      <c r="BH24" s="18"/>
      <c r="BI24" s="18" t="s">
        <v>2997</v>
      </c>
      <c r="BK24" s="18" t="s">
        <v>3703</v>
      </c>
      <c r="BL24" s="18">
        <v>11</v>
      </c>
    </row>
    <row r="25" spans="2:64">
      <c r="B25" s="2"/>
      <c r="C25" s="2" t="s">
        <v>346</v>
      </c>
      <c r="D25" s="2"/>
      <c r="E25" s="1" t="s">
        <v>328</v>
      </c>
      <c r="F25" s="2"/>
      <c r="H25" s="2"/>
      <c r="I25" s="2"/>
      <c r="J25" s="2"/>
      <c r="K25" s="2"/>
      <c r="L25" s="2"/>
      <c r="M25" s="2"/>
      <c r="N25" s="2"/>
      <c r="Q25" s="2" t="s">
        <v>162</v>
      </c>
      <c r="R25" s="2"/>
      <c r="S25" s="2"/>
      <c r="T25" s="2" t="s">
        <v>204</v>
      </c>
      <c r="U25" s="2" t="s">
        <v>236</v>
      </c>
      <c r="V25" s="2" t="s">
        <v>247</v>
      </c>
      <c r="W25" s="2"/>
      <c r="X25" s="2" t="s">
        <v>318</v>
      </c>
      <c r="Y25" s="2" t="s">
        <v>268</v>
      </c>
      <c r="AA25" s="18" t="s">
        <v>376</v>
      </c>
      <c r="AB25" s="18" t="s">
        <v>742</v>
      </c>
      <c r="AC25" s="18" t="s">
        <v>1213</v>
      </c>
      <c r="AD25" s="18" t="s">
        <v>1767</v>
      </c>
      <c r="AE25" s="18" t="s">
        <v>2086</v>
      </c>
      <c r="AI25" s="18" t="s">
        <v>2680</v>
      </c>
      <c r="AJ25" s="18" t="s">
        <v>2707</v>
      </c>
      <c r="AK25" s="18" t="s">
        <v>2701</v>
      </c>
      <c r="AL25" s="18"/>
      <c r="AM25" s="18"/>
      <c r="AN25" s="18"/>
      <c r="AP25" s="18" t="s">
        <v>2756</v>
      </c>
      <c r="AQ25" s="18" t="s">
        <v>2768</v>
      </c>
      <c r="AR25" s="18" t="s">
        <v>2762</v>
      </c>
      <c r="AS25" s="18"/>
      <c r="AT25" s="18"/>
      <c r="AU25" s="18"/>
      <c r="AW25" s="18" t="s">
        <v>2818</v>
      </c>
      <c r="AX25" s="18" t="s">
        <v>2830</v>
      </c>
      <c r="AY25" s="18" t="s">
        <v>2824</v>
      </c>
      <c r="AZ25" s="18"/>
      <c r="BA25" s="18"/>
      <c r="BB25" s="18"/>
      <c r="BD25" s="18" t="s">
        <v>2888</v>
      </c>
      <c r="BE25" s="18" t="s">
        <v>3003</v>
      </c>
      <c r="BF25" s="18" t="s">
        <v>2894</v>
      </c>
      <c r="BG25" s="18"/>
      <c r="BH25" s="18"/>
      <c r="BI25" s="18" t="s">
        <v>2999</v>
      </c>
      <c r="BK25" s="18" t="s">
        <v>3699</v>
      </c>
      <c r="BL25" s="18">
        <v>11</v>
      </c>
    </row>
    <row r="26" spans="2:64">
      <c r="B26" s="2"/>
      <c r="C26" s="2" t="s">
        <v>345</v>
      </c>
      <c r="D26" s="2"/>
      <c r="E26" s="1" t="s">
        <v>328</v>
      </c>
      <c r="J26" s="2"/>
      <c r="M26" s="2"/>
      <c r="Q26" s="1" t="s">
        <v>332</v>
      </c>
      <c r="R26" s="2"/>
      <c r="S26" s="2"/>
      <c r="T26" s="2" t="s">
        <v>205</v>
      </c>
      <c r="U26" s="2" t="s">
        <v>237</v>
      </c>
      <c r="V26" s="2" t="s">
        <v>248</v>
      </c>
      <c r="W26" s="2"/>
      <c r="X26" s="2" t="s">
        <v>319</v>
      </c>
      <c r="Y26" s="2" t="s">
        <v>269</v>
      </c>
      <c r="AA26" s="18" t="s">
        <v>377</v>
      </c>
      <c r="AB26" s="18" t="s">
        <v>743</v>
      </c>
      <c r="AC26" s="18" t="s">
        <v>1214</v>
      </c>
      <c r="AD26" s="18" t="s">
        <v>1768</v>
      </c>
      <c r="AE26" s="18" t="s">
        <v>2087</v>
      </c>
      <c r="AI26" s="18" t="s">
        <v>2696</v>
      </c>
      <c r="AJ26" s="18" t="s">
        <v>2708</v>
      </c>
      <c r="AK26" s="18" t="s">
        <v>2702</v>
      </c>
      <c r="AL26" s="18"/>
      <c r="AM26" s="18"/>
      <c r="AN26" s="18"/>
      <c r="AP26" s="18" t="s">
        <v>2757</v>
      </c>
      <c r="AQ26" s="18" t="s">
        <v>2769</v>
      </c>
      <c r="AR26" s="18" t="s">
        <v>2763</v>
      </c>
      <c r="AS26" s="18"/>
      <c r="AT26" s="18"/>
      <c r="AU26" s="18"/>
      <c r="AW26" s="18" t="s">
        <v>2819</v>
      </c>
      <c r="AX26" s="18" t="s">
        <v>2831</v>
      </c>
      <c r="AY26" s="18" t="s">
        <v>2825</v>
      </c>
      <c r="AZ26" s="18"/>
      <c r="BA26" s="18"/>
      <c r="BB26" s="18"/>
      <c r="BD26" s="18" t="s">
        <v>2889</v>
      </c>
      <c r="BE26" s="18" t="s">
        <v>3005</v>
      </c>
      <c r="BF26" s="18" t="s">
        <v>2895</v>
      </c>
      <c r="BG26" s="18"/>
      <c r="BH26" s="18"/>
      <c r="BI26" s="18" t="s">
        <v>2998</v>
      </c>
      <c r="BK26" s="18" t="s">
        <v>3700</v>
      </c>
      <c r="BL26" s="18">
        <v>11</v>
      </c>
    </row>
    <row r="27" spans="2:64">
      <c r="B27" s="2"/>
      <c r="C27" s="2" t="s">
        <v>346</v>
      </c>
      <c r="D27" s="2"/>
      <c r="E27" s="1" t="s">
        <v>328</v>
      </c>
      <c r="J27" s="2"/>
      <c r="M27" s="2"/>
      <c r="Q27" s="1" t="s">
        <v>332</v>
      </c>
      <c r="R27" s="2"/>
      <c r="S27" s="2"/>
      <c r="T27" s="2" t="s">
        <v>206</v>
      </c>
      <c r="U27" s="2" t="s">
        <v>238</v>
      </c>
      <c r="V27" s="2" t="s">
        <v>249</v>
      </c>
      <c r="W27" s="2"/>
      <c r="X27" s="2" t="s">
        <v>320</v>
      </c>
      <c r="Y27" s="2" t="s">
        <v>270</v>
      </c>
      <c r="AA27" s="18" t="s">
        <v>378</v>
      </c>
      <c r="AB27" s="18" t="s">
        <v>669</v>
      </c>
      <c r="AC27" s="18" t="s">
        <v>1215</v>
      </c>
      <c r="AD27" s="18" t="s">
        <v>1769</v>
      </c>
      <c r="AE27" s="18" t="s">
        <v>2088</v>
      </c>
      <c r="AG27" s="3"/>
      <c r="AP27" s="18"/>
      <c r="AQ27" s="18"/>
      <c r="AR27" s="18"/>
      <c r="AS27" s="18"/>
      <c r="AT27" s="18"/>
      <c r="AU27" s="18"/>
      <c r="BK27" s="18" t="s">
        <v>3698</v>
      </c>
      <c r="BL27" s="18">
        <v>11</v>
      </c>
    </row>
    <row r="28" spans="2:64">
      <c r="B28" s="2"/>
      <c r="C28" s="2" t="s">
        <v>342</v>
      </c>
      <c r="D28" s="2"/>
      <c r="E28" s="1" t="s">
        <v>328</v>
      </c>
      <c r="J28" s="2"/>
      <c r="M28" s="2"/>
      <c r="Q28" s="1" t="s">
        <v>332</v>
      </c>
      <c r="R28" s="2"/>
      <c r="S28" s="2"/>
      <c r="T28" s="2" t="s">
        <v>207</v>
      </c>
      <c r="U28" s="2" t="s">
        <v>239</v>
      </c>
      <c r="V28" s="2" t="s">
        <v>250</v>
      </c>
      <c r="W28" s="2"/>
      <c r="X28" s="2" t="s">
        <v>321</v>
      </c>
      <c r="Y28" s="2" t="s">
        <v>271</v>
      </c>
      <c r="AA28" s="18" t="s">
        <v>379</v>
      </c>
      <c r="AB28" s="18" t="s">
        <v>670</v>
      </c>
      <c r="AC28" s="18" t="s">
        <v>1216</v>
      </c>
      <c r="AD28" s="18" t="s">
        <v>1770</v>
      </c>
      <c r="AE28" s="18" t="s">
        <v>2089</v>
      </c>
      <c r="AP28" s="18"/>
      <c r="AQ28" s="18"/>
      <c r="AR28" s="18"/>
      <c r="AS28" s="18"/>
      <c r="AT28" s="18"/>
      <c r="AU28" s="18"/>
      <c r="BK28" s="18" t="s">
        <v>3912</v>
      </c>
      <c r="BL28" s="18">
        <v>10</v>
      </c>
    </row>
    <row r="29" spans="2:64">
      <c r="B29" s="2"/>
      <c r="C29" s="2" t="s">
        <v>343</v>
      </c>
      <c r="D29" s="2"/>
      <c r="J29" s="2"/>
      <c r="M29" s="2"/>
      <c r="Q29" s="1" t="s">
        <v>332</v>
      </c>
      <c r="R29" s="2"/>
      <c r="S29" s="2"/>
      <c r="T29" s="2" t="s">
        <v>208</v>
      </c>
      <c r="U29" s="2" t="s">
        <v>240</v>
      </c>
      <c r="V29" s="2" t="s">
        <v>251</v>
      </c>
      <c r="W29" s="2"/>
      <c r="X29" s="2" t="s">
        <v>322</v>
      </c>
      <c r="Y29" s="2" t="s">
        <v>272</v>
      </c>
      <c r="AA29" s="18" t="s">
        <v>380</v>
      </c>
      <c r="AB29" s="18" t="s">
        <v>671</v>
      </c>
      <c r="AC29" s="18" t="s">
        <v>1217</v>
      </c>
      <c r="AD29" s="18" t="s">
        <v>1771</v>
      </c>
      <c r="AE29" s="18" t="s">
        <v>2090</v>
      </c>
      <c r="AP29" s="18"/>
      <c r="AQ29" s="18"/>
      <c r="AR29" s="18"/>
      <c r="AS29" s="18"/>
      <c r="AT29" s="18"/>
      <c r="AU29" s="18"/>
      <c r="BK29" s="18" t="s">
        <v>3910</v>
      </c>
      <c r="BL29" s="18">
        <v>10</v>
      </c>
    </row>
    <row r="30" spans="2:64">
      <c r="B30" s="2"/>
      <c r="C30" s="2" t="s">
        <v>344</v>
      </c>
      <c r="D30" s="2"/>
      <c r="J30" s="2"/>
      <c r="M30" s="2"/>
      <c r="Q30" s="1" t="s">
        <v>332</v>
      </c>
      <c r="R30" s="2"/>
      <c r="S30" s="2"/>
      <c r="T30" s="2" t="s">
        <v>209</v>
      </c>
      <c r="U30" s="2" t="s">
        <v>195</v>
      </c>
      <c r="V30" s="2" t="s">
        <v>252</v>
      </c>
      <c r="W30" s="2"/>
      <c r="X30" s="2" t="s">
        <v>323</v>
      </c>
      <c r="Y30" s="2" t="s">
        <v>273</v>
      </c>
      <c r="AA30" s="18" t="s">
        <v>381</v>
      </c>
      <c r="AB30" s="18" t="s">
        <v>744</v>
      </c>
      <c r="AC30" s="18" t="s">
        <v>1218</v>
      </c>
      <c r="AD30" s="18" t="s">
        <v>1772</v>
      </c>
      <c r="AE30" s="18" t="s">
        <v>2091</v>
      </c>
      <c r="AP30" s="18"/>
      <c r="AQ30" s="18"/>
      <c r="AR30" s="18"/>
      <c r="AS30" s="18"/>
      <c r="AT30" s="18"/>
      <c r="AU30" s="18"/>
      <c r="BK30" s="18" t="s">
        <v>3911</v>
      </c>
      <c r="BL30" s="18">
        <v>10</v>
      </c>
    </row>
    <row r="31" spans="2:64">
      <c r="B31" s="2"/>
      <c r="C31" s="2" t="s">
        <v>345</v>
      </c>
      <c r="D31" s="2"/>
      <c r="J31" s="2"/>
      <c r="M31" s="2"/>
      <c r="Q31" s="1" t="s">
        <v>332</v>
      </c>
      <c r="R31" s="2"/>
      <c r="S31" s="2"/>
      <c r="T31" s="2" t="s">
        <v>210</v>
      </c>
      <c r="U31" s="2" t="s">
        <v>231</v>
      </c>
      <c r="V31" s="2" t="s">
        <v>248</v>
      </c>
      <c r="W31" s="2"/>
      <c r="X31" s="2" t="s">
        <v>324</v>
      </c>
      <c r="Y31" s="2" t="s">
        <v>279</v>
      </c>
      <c r="AA31" s="18" t="s">
        <v>382</v>
      </c>
      <c r="AB31" s="18" t="s">
        <v>672</v>
      </c>
      <c r="AC31" s="18" t="s">
        <v>1219</v>
      </c>
      <c r="AD31" s="18" t="s">
        <v>1773</v>
      </c>
      <c r="AE31" s="18" t="s">
        <v>2092</v>
      </c>
      <c r="AP31" s="18"/>
      <c r="AQ31" s="18"/>
      <c r="AR31" s="18"/>
      <c r="AS31" s="18"/>
      <c r="AT31" s="18"/>
      <c r="AU31" s="18"/>
      <c r="BK31" s="18" t="s">
        <v>3765</v>
      </c>
      <c r="BL31" s="18">
        <v>12</v>
      </c>
    </row>
    <row r="32" spans="2:64">
      <c r="C32" s="2" t="s">
        <v>346</v>
      </c>
      <c r="D32" s="2"/>
      <c r="J32" s="2"/>
      <c r="M32" s="2"/>
      <c r="Q32" s="1" t="s">
        <v>332</v>
      </c>
      <c r="R32" s="2"/>
      <c r="S32" s="2"/>
      <c r="T32" s="2" t="s">
        <v>211</v>
      </c>
      <c r="U32" s="2" t="s">
        <v>241</v>
      </c>
      <c r="V32" s="2" t="s">
        <v>249</v>
      </c>
      <c r="W32" s="2"/>
      <c r="X32" s="2" t="s">
        <v>325</v>
      </c>
      <c r="Y32" s="2" t="s">
        <v>280</v>
      </c>
      <c r="AA32" s="18" t="s">
        <v>383</v>
      </c>
      <c r="AB32" s="18" t="s">
        <v>673</v>
      </c>
      <c r="AC32" s="18" t="s">
        <v>1220</v>
      </c>
      <c r="AD32" s="18" t="s">
        <v>1774</v>
      </c>
      <c r="AE32" s="18" t="s">
        <v>2093</v>
      </c>
      <c r="AP32" s="18"/>
      <c r="AT32" s="18"/>
      <c r="AU32" s="18"/>
      <c r="BK32" s="18" t="s">
        <v>3766</v>
      </c>
      <c r="BL32" s="18">
        <v>12</v>
      </c>
    </row>
    <row r="33" spans="2:64">
      <c r="C33" s="2" t="s">
        <v>297</v>
      </c>
      <c r="D33" s="2"/>
      <c r="J33" s="2"/>
      <c r="M33" s="2"/>
      <c r="Q33" s="1" t="s">
        <v>332</v>
      </c>
      <c r="R33" s="2"/>
      <c r="S33" s="2"/>
      <c r="T33" s="2" t="s">
        <v>212</v>
      </c>
      <c r="U33" s="2" t="s">
        <v>242</v>
      </c>
      <c r="V33" s="2" t="s">
        <v>250</v>
      </c>
      <c r="W33" s="2"/>
      <c r="X33" s="2" t="s">
        <v>326</v>
      </c>
      <c r="Y33" s="2" t="s">
        <v>281</v>
      </c>
      <c r="AA33" s="18" t="s">
        <v>384</v>
      </c>
      <c r="AB33" s="18" t="s">
        <v>674</v>
      </c>
      <c r="AC33" s="18" t="s">
        <v>1221</v>
      </c>
      <c r="AD33" s="18" t="s">
        <v>1775</v>
      </c>
      <c r="AE33" s="18" t="s">
        <v>2094</v>
      </c>
      <c r="AP33" s="18"/>
      <c r="AT33" s="18"/>
      <c r="AU33" s="18"/>
      <c r="BK33" s="18" t="s">
        <v>3767</v>
      </c>
      <c r="BL33" s="18">
        <v>12</v>
      </c>
    </row>
    <row r="34" spans="2:64">
      <c r="AA34" s="18" t="s">
        <v>385</v>
      </c>
      <c r="AB34" s="18" t="s">
        <v>675</v>
      </c>
      <c r="AC34" s="18" t="s">
        <v>1222</v>
      </c>
      <c r="AD34" s="18" t="s">
        <v>1776</v>
      </c>
      <c r="AE34" s="18" t="s">
        <v>2095</v>
      </c>
      <c r="AP34" s="18"/>
      <c r="AT34" s="18"/>
      <c r="AU34" s="18"/>
      <c r="BK34" s="18" t="s">
        <v>4012</v>
      </c>
      <c r="BL34" s="18">
        <v>8</v>
      </c>
    </row>
    <row r="35" spans="2:64">
      <c r="AA35" s="18" t="s">
        <v>638</v>
      </c>
      <c r="AB35" s="18" t="s">
        <v>676</v>
      </c>
      <c r="AC35" s="18" t="s">
        <v>1223</v>
      </c>
      <c r="AD35" s="18" t="s">
        <v>1777</v>
      </c>
      <c r="AE35" s="18" t="s">
        <v>2096</v>
      </c>
      <c r="AP35" s="18"/>
      <c r="AT35" s="18"/>
      <c r="AU35" s="18"/>
      <c r="BK35" s="18" t="s">
        <v>4010</v>
      </c>
      <c r="BL35" s="18">
        <v>8</v>
      </c>
    </row>
    <row r="36" spans="2:64">
      <c r="AA36" s="18" t="s">
        <v>386</v>
      </c>
      <c r="AB36" s="18" t="s">
        <v>745</v>
      </c>
      <c r="AC36" s="18" t="s">
        <v>1224</v>
      </c>
      <c r="AD36" s="18" t="s">
        <v>1778</v>
      </c>
      <c r="AE36" s="18" t="s">
        <v>1249</v>
      </c>
      <c r="AP36" s="18"/>
      <c r="AT36" s="18"/>
      <c r="AU36" s="18"/>
      <c r="BK36" s="18" t="s">
        <v>4003</v>
      </c>
      <c r="BL36" s="18">
        <v>8</v>
      </c>
    </row>
    <row r="37" spans="2:64">
      <c r="AA37" s="18" t="s">
        <v>387</v>
      </c>
      <c r="AB37" s="18" t="s">
        <v>677</v>
      </c>
      <c r="AC37" s="18" t="s">
        <v>1225</v>
      </c>
      <c r="AD37" s="18" t="s">
        <v>1779</v>
      </c>
      <c r="AE37" s="18" t="s">
        <v>2097</v>
      </c>
      <c r="AI37" s="18" t="s">
        <v>2955</v>
      </c>
      <c r="AJ37" s="18" t="s">
        <v>2958</v>
      </c>
      <c r="AP37" s="18" t="s">
        <v>2955</v>
      </c>
      <c r="AQ37" s="18" t="s">
        <v>2976</v>
      </c>
      <c r="AT37" s="18"/>
      <c r="AU37" s="18"/>
      <c r="AW37" s="18" t="s">
        <v>2955</v>
      </c>
      <c r="AX37" s="18" t="s">
        <v>2984</v>
      </c>
      <c r="BD37" s="18" t="s">
        <v>2955</v>
      </c>
      <c r="BE37" s="18" t="s">
        <v>3006</v>
      </c>
      <c r="BK37" s="18" t="s">
        <v>4007</v>
      </c>
      <c r="BL37" s="18">
        <v>8</v>
      </c>
    </row>
    <row r="38" spans="2:64">
      <c r="B38" s="1" t="s">
        <v>798</v>
      </c>
      <c r="C38" s="1" t="s">
        <v>799</v>
      </c>
      <c r="D38" s="1" t="s">
        <v>810</v>
      </c>
      <c r="E38" s="1" t="s">
        <v>821</v>
      </c>
      <c r="F38" s="1" t="s">
        <v>832</v>
      </c>
      <c r="G38" s="1" t="s">
        <v>865</v>
      </c>
      <c r="H38" s="1" t="s">
        <v>866</v>
      </c>
      <c r="I38" s="1" t="s">
        <v>875</v>
      </c>
      <c r="J38" s="1" t="s">
        <v>890</v>
      </c>
      <c r="K38" s="1" t="s">
        <v>891</v>
      </c>
      <c r="L38" s="1" t="s">
        <v>911</v>
      </c>
      <c r="M38" s="1" t="s">
        <v>912</v>
      </c>
      <c r="N38" s="1" t="s">
        <v>923</v>
      </c>
      <c r="O38" s="1" t="s">
        <v>936</v>
      </c>
      <c r="P38" s="1" t="s">
        <v>949</v>
      </c>
      <c r="Q38" s="1" t="s">
        <v>961</v>
      </c>
      <c r="R38" s="1" t="s">
        <v>971</v>
      </c>
      <c r="S38" s="1" t="s">
        <v>992</v>
      </c>
      <c r="T38" s="1" t="s">
        <v>1003</v>
      </c>
      <c r="AA38" s="18" t="s">
        <v>388</v>
      </c>
      <c r="AB38" s="18" t="s">
        <v>678</v>
      </c>
      <c r="AC38" s="18" t="s">
        <v>1226</v>
      </c>
      <c r="AD38" s="18" t="s">
        <v>1780</v>
      </c>
      <c r="AE38" s="18" t="s">
        <v>2098</v>
      </c>
      <c r="AI38" s="18" t="s">
        <v>1029</v>
      </c>
      <c r="AJ38" s="18" t="s">
        <v>1187</v>
      </c>
      <c r="AK38" s="18" t="s">
        <v>1028</v>
      </c>
      <c r="AL38" s="18" t="s">
        <v>1021</v>
      </c>
      <c r="AM38" s="18" t="s">
        <v>2952</v>
      </c>
      <c r="AN38" s="18" t="s">
        <v>2954</v>
      </c>
      <c r="AP38" s="18" t="s">
        <v>1029</v>
      </c>
      <c r="AQ38" s="18" t="s">
        <v>1187</v>
      </c>
      <c r="AR38" s="18" t="s">
        <v>1028</v>
      </c>
      <c r="AS38" s="18" t="s">
        <v>1021</v>
      </c>
      <c r="AT38" s="18" t="s">
        <v>2952</v>
      </c>
      <c r="AU38" s="18" t="s">
        <v>2954</v>
      </c>
      <c r="AW38" s="18" t="s">
        <v>1029</v>
      </c>
      <c r="AX38" s="18" t="s">
        <v>1187</v>
      </c>
      <c r="AY38" s="18" t="s">
        <v>1028</v>
      </c>
      <c r="AZ38" s="18" t="s">
        <v>1021</v>
      </c>
      <c r="BA38" s="18" t="s">
        <v>2952</v>
      </c>
      <c r="BB38" s="18" t="s">
        <v>2954</v>
      </c>
      <c r="BD38" s="18" t="s">
        <v>1029</v>
      </c>
      <c r="BE38" s="18" t="s">
        <v>1187</v>
      </c>
      <c r="BF38" s="18" t="s">
        <v>1028</v>
      </c>
      <c r="BG38" s="18" t="s">
        <v>1021</v>
      </c>
      <c r="BH38" s="18" t="s">
        <v>2952</v>
      </c>
      <c r="BI38" s="18" t="s">
        <v>2954</v>
      </c>
      <c r="BK38" s="18" t="s">
        <v>4004</v>
      </c>
      <c r="BL38" s="18">
        <v>8</v>
      </c>
    </row>
    <row r="39" spans="2:64">
      <c r="B39" s="1" t="s">
        <v>778</v>
      </c>
      <c r="C39" s="19" t="s">
        <v>800</v>
      </c>
      <c r="D39" s="19" t="s">
        <v>811</v>
      </c>
      <c r="E39" s="19" t="s">
        <v>822</v>
      </c>
      <c r="F39" s="19" t="s">
        <v>833</v>
      </c>
      <c r="G39" s="19" t="s">
        <v>845</v>
      </c>
      <c r="H39" s="19" t="s">
        <v>867</v>
      </c>
      <c r="I39" s="19" t="s">
        <v>876</v>
      </c>
      <c r="J39" s="1" t="s">
        <v>884</v>
      </c>
      <c r="K39" s="1" t="s">
        <v>892</v>
      </c>
      <c r="L39" s="19" t="s">
        <v>899</v>
      </c>
      <c r="M39" s="19" t="s">
        <v>913</v>
      </c>
      <c r="N39" s="19" t="s">
        <v>924</v>
      </c>
      <c r="O39" s="19" t="s">
        <v>937</v>
      </c>
      <c r="P39" s="19" t="s">
        <v>950</v>
      </c>
      <c r="Q39" s="19" t="s">
        <v>962</v>
      </c>
      <c r="R39" s="19" t="s">
        <v>972</v>
      </c>
      <c r="S39" s="19" t="s">
        <v>993</v>
      </c>
      <c r="T39" s="19" t="s">
        <v>1004</v>
      </c>
      <c r="AA39" s="18" t="s">
        <v>389</v>
      </c>
      <c r="AB39" s="18" t="s">
        <v>679</v>
      </c>
      <c r="AC39" s="18" t="s">
        <v>1227</v>
      </c>
      <c r="AD39" s="18" t="s">
        <v>1781</v>
      </c>
      <c r="AE39" s="18" t="s">
        <v>2099</v>
      </c>
      <c r="AI39" s="18" t="s">
        <v>2709</v>
      </c>
      <c r="AJ39" s="18"/>
      <c r="AK39" s="18" t="s">
        <v>2714</v>
      </c>
      <c r="AL39" s="18" t="s">
        <v>2720</v>
      </c>
      <c r="AM39" s="18"/>
      <c r="AN39" s="18"/>
      <c r="AP39" s="18" t="s">
        <v>2770</v>
      </c>
      <c r="AQ39" s="18" t="s">
        <v>2778</v>
      </c>
      <c r="AR39" s="18" t="s">
        <v>2774</v>
      </c>
      <c r="AS39" s="18"/>
      <c r="AT39" s="18"/>
      <c r="AU39" s="18"/>
      <c r="AW39" s="18" t="s">
        <v>2832</v>
      </c>
      <c r="AX39" s="18"/>
      <c r="AY39" s="18" t="s">
        <v>2846</v>
      </c>
      <c r="AZ39" s="18" t="s">
        <v>2838</v>
      </c>
      <c r="BA39" s="18"/>
      <c r="BB39" s="18"/>
      <c r="BD39" s="18" t="s">
        <v>2896</v>
      </c>
      <c r="BE39" s="18" t="s">
        <v>2900</v>
      </c>
      <c r="BF39" s="18" t="s">
        <v>2904</v>
      </c>
      <c r="BG39" s="18"/>
      <c r="BH39" s="18"/>
      <c r="BI39" s="18"/>
      <c r="BK39" s="18" t="s">
        <v>4006</v>
      </c>
      <c r="BL39" s="18">
        <v>8</v>
      </c>
    </row>
    <row r="40" spans="2:64">
      <c r="B40" s="1" t="s">
        <v>779</v>
      </c>
      <c r="C40" s="19" t="s">
        <v>801</v>
      </c>
      <c r="D40" s="19" t="s">
        <v>812</v>
      </c>
      <c r="E40" s="19" t="s">
        <v>823</v>
      </c>
      <c r="F40" s="19" t="s">
        <v>834</v>
      </c>
      <c r="G40" s="19" t="s">
        <v>846</v>
      </c>
      <c r="H40" s="19" t="s">
        <v>868</v>
      </c>
      <c r="I40" s="19" t="s">
        <v>877</v>
      </c>
      <c r="J40" s="1" t="s">
        <v>885</v>
      </c>
      <c r="K40" s="1" t="s">
        <v>893</v>
      </c>
      <c r="L40" s="19" t="s">
        <v>900</v>
      </c>
      <c r="M40" s="19" t="s">
        <v>914</v>
      </c>
      <c r="N40" s="19" t="s">
        <v>925</v>
      </c>
      <c r="O40" s="19" t="s">
        <v>938</v>
      </c>
      <c r="P40" s="19" t="s">
        <v>951</v>
      </c>
      <c r="Q40" s="19" t="s">
        <v>963</v>
      </c>
      <c r="R40" s="19" t="s">
        <v>973</v>
      </c>
      <c r="S40" s="19" t="s">
        <v>994</v>
      </c>
      <c r="T40" s="19" t="s">
        <v>1005</v>
      </c>
      <c r="AA40" s="18" t="s">
        <v>639</v>
      </c>
      <c r="AB40" s="18" t="s">
        <v>436</v>
      </c>
      <c r="AC40" s="18" t="s">
        <v>1228</v>
      </c>
      <c r="AD40" s="18" t="s">
        <v>1782</v>
      </c>
      <c r="AE40" s="18" t="s">
        <v>2100</v>
      </c>
      <c r="AI40" s="18" t="s">
        <v>2710</v>
      </c>
      <c r="AJ40" s="18"/>
      <c r="AK40" s="18" t="s">
        <v>2715</v>
      </c>
      <c r="AL40" s="18" t="s">
        <v>2721</v>
      </c>
      <c r="AM40" s="18"/>
      <c r="AN40" s="18"/>
      <c r="AP40" s="18" t="s">
        <v>2771</v>
      </c>
      <c r="AQ40" s="18" t="s">
        <v>2779</v>
      </c>
      <c r="AR40" s="18" t="s">
        <v>2775</v>
      </c>
      <c r="AS40" s="18"/>
      <c r="AT40" s="18"/>
      <c r="AU40" s="18"/>
      <c r="AW40" s="18" t="s">
        <v>2833</v>
      </c>
      <c r="AX40" s="18"/>
      <c r="AY40" s="18" t="s">
        <v>2847</v>
      </c>
      <c r="AZ40" s="18" t="s">
        <v>2839</v>
      </c>
      <c r="BA40" s="18"/>
      <c r="BB40" s="18"/>
      <c r="BD40" s="18" t="s">
        <v>2897</v>
      </c>
      <c r="BE40" s="18" t="s">
        <v>2901</v>
      </c>
      <c r="BF40" s="18" t="s">
        <v>2905</v>
      </c>
      <c r="BG40" s="18"/>
      <c r="BH40" s="18"/>
      <c r="BI40" s="18"/>
      <c r="BK40" s="18" t="s">
        <v>4009</v>
      </c>
      <c r="BL40" s="18">
        <v>8</v>
      </c>
    </row>
    <row r="41" spans="2:64">
      <c r="B41" s="1" t="s">
        <v>780</v>
      </c>
      <c r="C41" s="19" t="s">
        <v>802</v>
      </c>
      <c r="D41" s="19" t="s">
        <v>813</v>
      </c>
      <c r="E41" s="19" t="s">
        <v>824</v>
      </c>
      <c r="F41" s="19" t="s">
        <v>835</v>
      </c>
      <c r="G41" s="19" t="s">
        <v>847</v>
      </c>
      <c r="H41" s="19" t="s">
        <v>869</v>
      </c>
      <c r="I41" s="19" t="s">
        <v>878</v>
      </c>
      <c r="J41" s="1" t="s">
        <v>886</v>
      </c>
      <c r="K41" s="1" t="s">
        <v>894</v>
      </c>
      <c r="L41" s="19" t="s">
        <v>901</v>
      </c>
      <c r="M41" s="19" t="s">
        <v>915</v>
      </c>
      <c r="N41" s="19" t="s">
        <v>926</v>
      </c>
      <c r="O41" s="19" t="s">
        <v>939</v>
      </c>
      <c r="P41" s="19" t="s">
        <v>952</v>
      </c>
      <c r="Q41" s="19" t="s">
        <v>964</v>
      </c>
      <c r="R41" s="19" t="s">
        <v>974</v>
      </c>
      <c r="S41" s="19" t="s">
        <v>995</v>
      </c>
      <c r="T41" s="19" t="s">
        <v>1006</v>
      </c>
      <c r="AA41" s="18" t="s">
        <v>390</v>
      </c>
      <c r="AB41" s="18" t="s">
        <v>746</v>
      </c>
      <c r="AC41" s="18" t="s">
        <v>1229</v>
      </c>
      <c r="AD41" s="18" t="s">
        <v>1783</v>
      </c>
      <c r="AE41" s="18" t="s">
        <v>2101</v>
      </c>
      <c r="AI41" s="18" t="s">
        <v>2711</v>
      </c>
      <c r="AJ41" s="18"/>
      <c r="AK41" s="18" t="s">
        <v>2716</v>
      </c>
      <c r="AL41" s="18" t="s">
        <v>2722</v>
      </c>
      <c r="AM41" s="18"/>
      <c r="AN41" s="18"/>
      <c r="AP41" s="18" t="s">
        <v>2772</v>
      </c>
      <c r="AQ41" s="18" t="s">
        <v>2780</v>
      </c>
      <c r="AR41" s="18" t="s">
        <v>2776</v>
      </c>
      <c r="AS41" s="18"/>
      <c r="AT41" s="18"/>
      <c r="AU41" s="18"/>
      <c r="AW41" s="18" t="s">
        <v>2834</v>
      </c>
      <c r="AX41" s="18"/>
      <c r="AY41" s="18" t="s">
        <v>2848</v>
      </c>
      <c r="AZ41" s="18" t="s">
        <v>2840</v>
      </c>
      <c r="BA41" s="18"/>
      <c r="BB41" s="18"/>
      <c r="BD41" s="18" t="s">
        <v>2898</v>
      </c>
      <c r="BE41" s="18" t="s">
        <v>2902</v>
      </c>
      <c r="BF41" s="18" t="s">
        <v>2717</v>
      </c>
      <c r="BG41" s="18"/>
      <c r="BH41" s="18"/>
      <c r="BI41" s="18"/>
      <c r="BK41" s="18" t="s">
        <v>4005</v>
      </c>
      <c r="BL41" s="18">
        <v>8</v>
      </c>
    </row>
    <row r="42" spans="2:64">
      <c r="B42" s="1" t="s">
        <v>781</v>
      </c>
      <c r="C42" s="19" t="s">
        <v>803</v>
      </c>
      <c r="D42" s="19" t="s">
        <v>814</v>
      </c>
      <c r="E42" s="19" t="s">
        <v>825</v>
      </c>
      <c r="F42" s="19" t="s">
        <v>836</v>
      </c>
      <c r="G42" s="19" t="s">
        <v>848</v>
      </c>
      <c r="H42" s="19" t="s">
        <v>870</v>
      </c>
      <c r="I42" s="19" t="s">
        <v>879</v>
      </c>
      <c r="J42" s="1" t="s">
        <v>887</v>
      </c>
      <c r="K42" s="1" t="s">
        <v>895</v>
      </c>
      <c r="L42" s="19" t="s">
        <v>902</v>
      </c>
      <c r="M42" s="19" t="s">
        <v>916</v>
      </c>
      <c r="N42" s="19" t="s">
        <v>927</v>
      </c>
      <c r="O42" s="19" t="s">
        <v>940</v>
      </c>
      <c r="P42" s="19" t="s">
        <v>953</v>
      </c>
      <c r="Q42" s="19" t="s">
        <v>954</v>
      </c>
      <c r="R42" s="19" t="s">
        <v>975</v>
      </c>
      <c r="S42" s="19" t="s">
        <v>996</v>
      </c>
      <c r="T42" s="19" t="s">
        <v>1007</v>
      </c>
      <c r="AA42" s="18" t="s">
        <v>615</v>
      </c>
      <c r="AB42" s="18" t="s">
        <v>680</v>
      </c>
      <c r="AC42" s="18" t="s">
        <v>1230</v>
      </c>
      <c r="AD42" s="18" t="s">
        <v>1784</v>
      </c>
      <c r="AE42" s="18" t="s">
        <v>2102</v>
      </c>
      <c r="AI42" s="18" t="s">
        <v>2712</v>
      </c>
      <c r="AJ42" s="18"/>
      <c r="AK42" s="18" t="s">
        <v>2717</v>
      </c>
      <c r="AL42" s="18" t="s">
        <v>2723</v>
      </c>
      <c r="AM42" s="18"/>
      <c r="AN42" s="18"/>
      <c r="AP42" s="18" t="s">
        <v>2773</v>
      </c>
      <c r="AQ42" s="18" t="s">
        <v>2781</v>
      </c>
      <c r="AR42" s="18" t="s">
        <v>2777</v>
      </c>
      <c r="AS42" s="18"/>
      <c r="AT42" s="18"/>
      <c r="AU42" s="18"/>
      <c r="AW42" s="18" t="s">
        <v>2835</v>
      </c>
      <c r="AX42" s="18"/>
      <c r="AY42" s="18" t="s">
        <v>2849</v>
      </c>
      <c r="AZ42" s="18" t="s">
        <v>2841</v>
      </c>
      <c r="BA42" s="18"/>
      <c r="BB42" s="18"/>
      <c r="BD42" s="18" t="s">
        <v>2899</v>
      </c>
      <c r="BE42" s="18" t="s">
        <v>2903</v>
      </c>
      <c r="BF42" s="18" t="s">
        <v>2906</v>
      </c>
      <c r="BG42" s="18"/>
      <c r="BH42" s="18"/>
      <c r="BI42" s="18"/>
      <c r="BK42" s="18" t="s">
        <v>4011</v>
      </c>
      <c r="BL42" s="18">
        <v>8</v>
      </c>
    </row>
    <row r="43" spans="2:64">
      <c r="B43" s="1" t="s">
        <v>782</v>
      </c>
      <c r="C43" s="19" t="s">
        <v>1017</v>
      </c>
      <c r="D43" s="19" t="s">
        <v>815</v>
      </c>
      <c r="E43" s="19" t="s">
        <v>826</v>
      </c>
      <c r="F43" s="19" t="s">
        <v>837</v>
      </c>
      <c r="G43" s="19" t="s">
        <v>849</v>
      </c>
      <c r="H43" s="19" t="s">
        <v>871</v>
      </c>
      <c r="I43" s="1" t="s">
        <v>880</v>
      </c>
      <c r="J43" s="1" t="s">
        <v>888</v>
      </c>
      <c r="K43" s="1" t="s">
        <v>896</v>
      </c>
      <c r="L43" s="19" t="s">
        <v>903</v>
      </c>
      <c r="M43" s="19" t="s">
        <v>917</v>
      </c>
      <c r="N43" s="19" t="s">
        <v>928</v>
      </c>
      <c r="O43" s="19" t="s">
        <v>941</v>
      </c>
      <c r="P43" s="19" t="s">
        <v>954</v>
      </c>
      <c r="Q43" s="19" t="s">
        <v>965</v>
      </c>
      <c r="R43" s="19" t="s">
        <v>976</v>
      </c>
      <c r="S43" s="19" t="s">
        <v>997</v>
      </c>
      <c r="T43" s="19" t="s">
        <v>1008</v>
      </c>
      <c r="AA43" s="18" t="s">
        <v>391</v>
      </c>
      <c r="AB43" s="18" t="s">
        <v>681</v>
      </c>
      <c r="AC43" s="18" t="s">
        <v>1231</v>
      </c>
      <c r="AD43" s="18" t="s">
        <v>1785</v>
      </c>
      <c r="AE43" s="18" t="s">
        <v>2103</v>
      </c>
      <c r="AI43" s="18" t="s">
        <v>2713</v>
      </c>
      <c r="AJ43" s="18"/>
      <c r="AK43" s="18" t="s">
        <v>2718</v>
      </c>
      <c r="AL43" s="18" t="s">
        <v>2724</v>
      </c>
      <c r="AM43" s="18"/>
      <c r="AN43" s="18"/>
      <c r="AP43" s="18"/>
      <c r="AQ43" s="18"/>
      <c r="AR43" s="18"/>
      <c r="AS43" s="18"/>
      <c r="AT43" s="18"/>
      <c r="AU43" s="18"/>
      <c r="AW43" s="18" t="s">
        <v>2836</v>
      </c>
      <c r="AX43" s="18"/>
      <c r="AY43" s="18" t="s">
        <v>2850</v>
      </c>
      <c r="AZ43" s="18" t="s">
        <v>2842</v>
      </c>
      <c r="BA43" s="18"/>
      <c r="BB43" s="18"/>
      <c r="BK43" s="18" t="s">
        <v>4008</v>
      </c>
      <c r="BL43" s="18">
        <v>8</v>
      </c>
    </row>
    <row r="44" spans="2:64">
      <c r="B44" s="1" t="s">
        <v>783</v>
      </c>
      <c r="C44" s="19" t="s">
        <v>804</v>
      </c>
      <c r="D44" s="19" t="s">
        <v>816</v>
      </c>
      <c r="E44" s="19" t="s">
        <v>827</v>
      </c>
      <c r="F44" s="19" t="s">
        <v>838</v>
      </c>
      <c r="G44" s="19" t="s">
        <v>850</v>
      </c>
      <c r="H44" s="19" t="s">
        <v>872</v>
      </c>
      <c r="I44" s="1" t="s">
        <v>882</v>
      </c>
      <c r="J44" s="1" t="s">
        <v>889</v>
      </c>
      <c r="K44" s="1" t="s">
        <v>897</v>
      </c>
      <c r="L44" s="19" t="s">
        <v>904</v>
      </c>
      <c r="M44" s="19" t="s">
        <v>918</v>
      </c>
      <c r="N44" s="19" t="s">
        <v>929</v>
      </c>
      <c r="O44" s="19" t="s">
        <v>942</v>
      </c>
      <c r="P44" s="19" t="s">
        <v>955</v>
      </c>
      <c r="Q44" s="19" t="s">
        <v>966</v>
      </c>
      <c r="R44" s="19" t="s">
        <v>977</v>
      </c>
      <c r="S44" s="19" t="s">
        <v>998</v>
      </c>
      <c r="T44" s="19" t="s">
        <v>1009</v>
      </c>
      <c r="AA44" s="18" t="s">
        <v>616</v>
      </c>
      <c r="AB44" s="18" t="s">
        <v>682</v>
      </c>
      <c r="AC44" s="18" t="s">
        <v>1232</v>
      </c>
      <c r="AD44" s="18" t="s">
        <v>1786</v>
      </c>
      <c r="AE44" s="18" t="s">
        <v>2104</v>
      </c>
      <c r="AI44" s="18" t="s">
        <v>785</v>
      </c>
      <c r="AJ44" s="18"/>
      <c r="AK44" s="18" t="s">
        <v>2719</v>
      </c>
      <c r="AL44" s="18" t="s">
        <v>2725</v>
      </c>
      <c r="AM44" s="18"/>
      <c r="AN44" s="18"/>
      <c r="AP44" s="18"/>
      <c r="AQ44" s="18"/>
      <c r="AR44" s="18"/>
      <c r="AS44" s="18"/>
      <c r="AT44" s="18"/>
      <c r="AU44" s="18"/>
      <c r="AW44" s="18" t="s">
        <v>2837</v>
      </c>
      <c r="AX44" s="18"/>
      <c r="AY44" s="18" t="s">
        <v>2851</v>
      </c>
      <c r="AZ44" s="18" t="s">
        <v>2843</v>
      </c>
      <c r="BA44" s="18"/>
      <c r="BB44" s="18"/>
      <c r="BK44" s="18" t="s">
        <v>3710</v>
      </c>
      <c r="BL44" s="18">
        <v>5</v>
      </c>
    </row>
    <row r="45" spans="2:64">
      <c r="B45" s="1" t="s">
        <v>784</v>
      </c>
      <c r="C45" s="19" t="s">
        <v>805</v>
      </c>
      <c r="D45" s="19" t="s">
        <v>817</v>
      </c>
      <c r="E45" s="19" t="s">
        <v>828</v>
      </c>
      <c r="F45" s="19" t="s">
        <v>839</v>
      </c>
      <c r="G45" s="19" t="s">
        <v>851</v>
      </c>
      <c r="H45" s="19" t="s">
        <v>873</v>
      </c>
      <c r="I45" s="1" t="s">
        <v>881</v>
      </c>
      <c r="L45" s="19" t="s">
        <v>905</v>
      </c>
      <c r="M45" s="19" t="s">
        <v>919</v>
      </c>
      <c r="N45" s="19" t="s">
        <v>930</v>
      </c>
      <c r="O45" s="19" t="s">
        <v>943</v>
      </c>
      <c r="P45" s="19" t="s">
        <v>956</v>
      </c>
      <c r="Q45" s="19" t="s">
        <v>967</v>
      </c>
      <c r="R45" s="19" t="s">
        <v>978</v>
      </c>
      <c r="S45" s="19" t="s">
        <v>999</v>
      </c>
      <c r="T45" s="19" t="s">
        <v>1010</v>
      </c>
      <c r="AA45" s="18" t="s">
        <v>617</v>
      </c>
      <c r="AB45" s="18" t="s">
        <v>729</v>
      </c>
      <c r="AC45" s="18" t="s">
        <v>1233</v>
      </c>
      <c r="AD45" s="18" t="s">
        <v>1787</v>
      </c>
      <c r="AE45" s="18" t="s">
        <v>2105</v>
      </c>
      <c r="AP45" s="18"/>
      <c r="AQ45" s="18"/>
      <c r="AR45" s="18"/>
      <c r="AS45" s="18"/>
      <c r="AT45" s="18"/>
      <c r="AU45" s="18"/>
      <c r="AW45" s="18" t="s">
        <v>2844</v>
      </c>
      <c r="AX45" s="18"/>
      <c r="AY45" s="18"/>
      <c r="AZ45" s="18"/>
      <c r="BA45" s="18"/>
      <c r="BB45" s="18"/>
      <c r="BK45" s="18" t="s">
        <v>3725</v>
      </c>
      <c r="BL45" s="18">
        <v>5</v>
      </c>
    </row>
    <row r="46" spans="2:64">
      <c r="B46" s="1" t="s">
        <v>785</v>
      </c>
      <c r="C46" s="19" t="s">
        <v>806</v>
      </c>
      <c r="D46" s="19" t="s">
        <v>818</v>
      </c>
      <c r="E46" s="19" t="s">
        <v>829</v>
      </c>
      <c r="F46" s="19" t="s">
        <v>840</v>
      </c>
      <c r="G46" s="19" t="s">
        <v>852</v>
      </c>
      <c r="H46" s="19" t="s">
        <v>874</v>
      </c>
      <c r="I46" s="1" t="s">
        <v>883</v>
      </c>
      <c r="L46" s="19" t="s">
        <v>906</v>
      </c>
      <c r="M46" s="19" t="s">
        <v>920</v>
      </c>
      <c r="N46" s="19" t="s">
        <v>931</v>
      </c>
      <c r="O46" s="19" t="s">
        <v>944</v>
      </c>
      <c r="P46" s="19" t="s">
        <v>957</v>
      </c>
      <c r="Q46" s="19" t="s">
        <v>968</v>
      </c>
      <c r="R46" s="19" t="s">
        <v>979</v>
      </c>
      <c r="S46" s="19" t="s">
        <v>1000</v>
      </c>
      <c r="T46" s="19" t="s">
        <v>1011</v>
      </c>
      <c r="AA46" s="18" t="s">
        <v>640</v>
      </c>
      <c r="AB46" s="18" t="s">
        <v>747</v>
      </c>
      <c r="AC46" s="18" t="s">
        <v>1234</v>
      </c>
      <c r="AD46" s="18" t="s">
        <v>1788</v>
      </c>
      <c r="AE46" s="18" t="s">
        <v>2106</v>
      </c>
      <c r="AP46" s="18"/>
      <c r="AQ46" s="18"/>
      <c r="AR46" s="18"/>
      <c r="AS46" s="18"/>
      <c r="AT46" s="18"/>
      <c r="AU46" s="18"/>
      <c r="AW46" s="18" t="s">
        <v>2845</v>
      </c>
      <c r="AX46" s="18"/>
      <c r="AY46" s="18"/>
      <c r="AZ46" s="18"/>
      <c r="BA46" s="18"/>
      <c r="BB46" s="18"/>
      <c r="BK46" s="18" t="s">
        <v>3737</v>
      </c>
      <c r="BL46" s="18">
        <v>5</v>
      </c>
    </row>
    <row r="47" spans="2:64">
      <c r="B47" s="1" t="s">
        <v>786</v>
      </c>
      <c r="C47" s="19" t="s">
        <v>807</v>
      </c>
      <c r="D47" s="19" t="s">
        <v>819</v>
      </c>
      <c r="E47" s="19" t="s">
        <v>830</v>
      </c>
      <c r="F47" s="19" t="s">
        <v>841</v>
      </c>
      <c r="G47" s="19" t="s">
        <v>853</v>
      </c>
      <c r="H47" s="19"/>
      <c r="I47" s="19"/>
      <c r="L47" s="19" t="s">
        <v>907</v>
      </c>
      <c r="M47" s="19" t="s">
        <v>921</v>
      </c>
      <c r="N47" s="19" t="s">
        <v>932</v>
      </c>
      <c r="O47" s="19" t="s">
        <v>945</v>
      </c>
      <c r="P47" s="19" t="s">
        <v>958</v>
      </c>
      <c r="Q47" s="19" t="s">
        <v>969</v>
      </c>
      <c r="R47" s="19" t="s">
        <v>980</v>
      </c>
      <c r="S47" s="19" t="s">
        <v>1001</v>
      </c>
      <c r="AA47" s="18" t="s">
        <v>641</v>
      </c>
      <c r="AB47" s="18" t="s">
        <v>683</v>
      </c>
      <c r="AC47" s="18" t="s">
        <v>1235</v>
      </c>
      <c r="AD47" s="18" t="s">
        <v>1789</v>
      </c>
      <c r="AE47" s="18" t="s">
        <v>2107</v>
      </c>
      <c r="AP47" s="18"/>
      <c r="AQ47" s="18"/>
      <c r="AR47" s="18"/>
      <c r="AS47" s="18"/>
      <c r="AT47" s="18"/>
      <c r="AU47" s="18"/>
      <c r="BK47" s="18" t="s">
        <v>3709</v>
      </c>
      <c r="BL47" s="18">
        <v>5</v>
      </c>
    </row>
    <row r="48" spans="2:64">
      <c r="B48" s="1" t="s">
        <v>787</v>
      </c>
      <c r="C48" s="19" t="s">
        <v>808</v>
      </c>
      <c r="D48" s="19" t="s">
        <v>820</v>
      </c>
      <c r="E48" s="19" t="s">
        <v>831</v>
      </c>
      <c r="F48" s="19" t="s">
        <v>842</v>
      </c>
      <c r="G48" s="19" t="s">
        <v>854</v>
      </c>
      <c r="H48" s="19"/>
      <c r="I48" s="19"/>
      <c r="L48" s="19" t="s">
        <v>908</v>
      </c>
      <c r="M48" s="1" t="s">
        <v>922</v>
      </c>
      <c r="N48" s="19" t="s">
        <v>933</v>
      </c>
      <c r="O48" s="19" t="s">
        <v>946</v>
      </c>
      <c r="P48" s="19" t="s">
        <v>959</v>
      </c>
      <c r="Q48" s="19" t="s">
        <v>970</v>
      </c>
      <c r="R48" s="19" t="s">
        <v>981</v>
      </c>
      <c r="S48" s="19" t="s">
        <v>1002</v>
      </c>
      <c r="AA48" s="18" t="s">
        <v>392</v>
      </c>
      <c r="AB48" s="18" t="s">
        <v>684</v>
      </c>
      <c r="AC48" s="18" t="s">
        <v>1236</v>
      </c>
      <c r="AD48" s="18" t="s">
        <v>1790</v>
      </c>
      <c r="AE48" s="18" t="s">
        <v>2108</v>
      </c>
      <c r="AP48" s="18"/>
      <c r="AQ48" s="18"/>
      <c r="AR48" s="18"/>
      <c r="AS48" s="18"/>
      <c r="AT48" s="18"/>
      <c r="AU48" s="18"/>
      <c r="BK48" s="18" t="s">
        <v>3719</v>
      </c>
      <c r="BL48" s="18">
        <v>5</v>
      </c>
    </row>
    <row r="49" spans="2:64">
      <c r="B49" s="1" t="s">
        <v>788</v>
      </c>
      <c r="C49" s="1" t="s">
        <v>809</v>
      </c>
      <c r="E49" s="19"/>
      <c r="F49" s="19" t="s">
        <v>843</v>
      </c>
      <c r="G49" s="19" t="s">
        <v>855</v>
      </c>
      <c r="H49" s="19"/>
      <c r="I49" s="19"/>
      <c r="L49" s="19" t="s">
        <v>909</v>
      </c>
      <c r="N49" s="19" t="s">
        <v>934</v>
      </c>
      <c r="O49" s="19" t="s">
        <v>947</v>
      </c>
      <c r="P49" s="19" t="s">
        <v>960</v>
      </c>
      <c r="R49" s="19" t="s">
        <v>982</v>
      </c>
      <c r="AA49" s="18" t="s">
        <v>393</v>
      </c>
      <c r="AB49" s="18" t="s">
        <v>748</v>
      </c>
      <c r="AC49" s="18" t="s">
        <v>1237</v>
      </c>
      <c r="AD49" s="18" t="s">
        <v>1791</v>
      </c>
      <c r="AE49" s="18" t="s">
        <v>2109</v>
      </c>
      <c r="AP49" s="18"/>
      <c r="AQ49" s="18"/>
      <c r="AR49" s="18"/>
      <c r="AS49" s="18"/>
      <c r="AT49" s="18"/>
      <c r="AU49" s="18"/>
      <c r="BK49" s="18" t="s">
        <v>3713</v>
      </c>
      <c r="BL49" s="18">
        <v>5</v>
      </c>
    </row>
    <row r="50" spans="2:64">
      <c r="B50" s="1" t="s">
        <v>789</v>
      </c>
      <c r="C50" s="19" t="s">
        <v>1018</v>
      </c>
      <c r="E50" s="19"/>
      <c r="F50" s="19" t="s">
        <v>844</v>
      </c>
      <c r="G50" s="19" t="s">
        <v>856</v>
      </c>
      <c r="H50" s="19"/>
      <c r="I50" s="19"/>
      <c r="L50" s="1" t="s">
        <v>910</v>
      </c>
      <c r="N50" s="1" t="s">
        <v>935</v>
      </c>
      <c r="O50" s="1" t="s">
        <v>948</v>
      </c>
      <c r="R50" s="19" t="s">
        <v>983</v>
      </c>
      <c r="AA50" s="18" t="s">
        <v>394</v>
      </c>
      <c r="AB50" s="18" t="s">
        <v>685</v>
      </c>
      <c r="AC50" s="18" t="s">
        <v>1238</v>
      </c>
      <c r="AD50" s="18" t="s">
        <v>1792</v>
      </c>
      <c r="AE50" s="18" t="s">
        <v>2110</v>
      </c>
      <c r="AP50" s="18"/>
      <c r="AQ50" s="18"/>
      <c r="AR50" s="18"/>
      <c r="AS50" s="18"/>
      <c r="AT50" s="18"/>
      <c r="AU50" s="18"/>
      <c r="BK50" s="18" t="s">
        <v>3738</v>
      </c>
      <c r="BL50" s="18">
        <v>5</v>
      </c>
    </row>
    <row r="51" spans="2:64">
      <c r="B51" s="1" t="s">
        <v>790</v>
      </c>
      <c r="C51" s="19"/>
      <c r="E51" s="19"/>
      <c r="F51" s="19"/>
      <c r="G51" s="19" t="s">
        <v>857</v>
      </c>
      <c r="H51" s="19"/>
      <c r="L51" s="19" t="s">
        <v>899</v>
      </c>
      <c r="R51" s="19" t="s">
        <v>984</v>
      </c>
      <c r="AA51" s="18" t="s">
        <v>395</v>
      </c>
      <c r="AB51" s="18" t="s">
        <v>686</v>
      </c>
      <c r="AC51" s="18" t="s">
        <v>1239</v>
      </c>
      <c r="AD51" s="18" t="s">
        <v>1793</v>
      </c>
      <c r="AE51" s="18" t="s">
        <v>2111</v>
      </c>
      <c r="AP51" s="18"/>
      <c r="AQ51" s="18"/>
      <c r="AR51" s="18"/>
      <c r="AS51" s="18"/>
      <c r="AT51" s="18"/>
      <c r="AU51" s="18"/>
      <c r="BK51" s="18" t="s">
        <v>3714</v>
      </c>
      <c r="BL51" s="18">
        <v>5</v>
      </c>
    </row>
    <row r="52" spans="2:64">
      <c r="B52" s="1" t="s">
        <v>791</v>
      </c>
      <c r="C52" s="19"/>
      <c r="E52" s="19"/>
      <c r="F52" s="19"/>
      <c r="G52" s="19" t="s">
        <v>858</v>
      </c>
      <c r="H52" s="19"/>
      <c r="L52" s="19" t="s">
        <v>900</v>
      </c>
      <c r="R52" s="19" t="s">
        <v>985</v>
      </c>
      <c r="AA52" s="18" t="s">
        <v>396</v>
      </c>
      <c r="AB52" s="18" t="s">
        <v>687</v>
      </c>
      <c r="AC52" s="18" t="s">
        <v>1240</v>
      </c>
      <c r="AD52" s="18" t="s">
        <v>1794</v>
      </c>
      <c r="AE52" s="18" t="s">
        <v>2112</v>
      </c>
      <c r="AP52" s="18"/>
      <c r="AQ52" s="18"/>
      <c r="AR52" s="18"/>
      <c r="AS52" s="18"/>
      <c r="AT52" s="18"/>
      <c r="AU52" s="18"/>
      <c r="BK52" s="18" t="s">
        <v>3726</v>
      </c>
      <c r="BL52" s="18">
        <v>5</v>
      </c>
    </row>
    <row r="53" spans="2:64">
      <c r="B53" s="1" t="s">
        <v>792</v>
      </c>
      <c r="C53" s="19"/>
      <c r="E53" s="19"/>
      <c r="F53" s="19"/>
      <c r="G53" s="19" t="s">
        <v>859</v>
      </c>
      <c r="H53" s="19"/>
      <c r="L53" s="19" t="s">
        <v>901</v>
      </c>
      <c r="R53" s="19" t="s">
        <v>986</v>
      </c>
      <c r="AA53" s="18" t="s">
        <v>397</v>
      </c>
      <c r="AB53" s="18" t="s">
        <v>622</v>
      </c>
      <c r="AC53" s="18" t="s">
        <v>1241</v>
      </c>
      <c r="AD53" s="18" t="s">
        <v>1795</v>
      </c>
      <c r="AE53" s="18" t="s">
        <v>2113</v>
      </c>
      <c r="AP53" s="18"/>
      <c r="AQ53" s="18"/>
      <c r="AR53" s="18"/>
      <c r="AS53" s="18"/>
      <c r="AT53" s="18"/>
      <c r="AU53" s="18"/>
      <c r="BK53" s="18" t="s">
        <v>3712</v>
      </c>
      <c r="BL53" s="18">
        <v>5</v>
      </c>
    </row>
    <row r="54" spans="2:64">
      <c r="B54" s="1" t="s">
        <v>793</v>
      </c>
      <c r="C54" s="19"/>
      <c r="E54" s="19"/>
      <c r="F54" s="19"/>
      <c r="G54" s="19" t="s">
        <v>860</v>
      </c>
      <c r="H54" s="19"/>
      <c r="L54" s="19" t="s">
        <v>902</v>
      </c>
      <c r="R54" s="19" t="s">
        <v>987</v>
      </c>
      <c r="AA54" s="18" t="s">
        <v>398</v>
      </c>
      <c r="AB54" s="18" t="s">
        <v>688</v>
      </c>
      <c r="AC54" s="18" t="s">
        <v>1242</v>
      </c>
      <c r="AD54" s="18" t="s">
        <v>1796</v>
      </c>
      <c r="AE54" s="18" t="s">
        <v>2114</v>
      </c>
      <c r="AP54" s="18"/>
      <c r="AQ54" s="18"/>
      <c r="AR54" s="18"/>
      <c r="AS54" s="18"/>
      <c r="AT54" s="18"/>
      <c r="AU54" s="18"/>
      <c r="BK54" s="18" t="s">
        <v>3727</v>
      </c>
      <c r="BL54" s="18">
        <v>5</v>
      </c>
    </row>
    <row r="55" spans="2:64">
      <c r="B55" s="1" t="s">
        <v>794</v>
      </c>
      <c r="C55" s="19"/>
      <c r="E55" s="19"/>
      <c r="F55" s="19"/>
      <c r="G55" s="19" t="s">
        <v>861</v>
      </c>
      <c r="H55" s="19"/>
      <c r="I55" s="19"/>
      <c r="L55" s="19" t="s">
        <v>903</v>
      </c>
      <c r="R55" s="19" t="s">
        <v>988</v>
      </c>
      <c r="AA55" s="18" t="s">
        <v>399</v>
      </c>
      <c r="AB55" s="18" t="s">
        <v>749</v>
      </c>
      <c r="AC55" s="18" t="s">
        <v>1243</v>
      </c>
      <c r="AD55" s="18" t="s">
        <v>1797</v>
      </c>
      <c r="AE55" s="18" t="s">
        <v>2115</v>
      </c>
      <c r="AI55" s="18" t="s">
        <v>2955</v>
      </c>
      <c r="AJ55" s="18" t="s">
        <v>2959</v>
      </c>
      <c r="AP55" s="18" t="s">
        <v>2955</v>
      </c>
      <c r="AQ55" s="18" t="s">
        <v>2977</v>
      </c>
      <c r="AR55" s="18"/>
      <c r="AS55" s="18"/>
      <c r="AT55" s="18"/>
      <c r="AU55" s="18"/>
      <c r="AW55" s="18" t="s">
        <v>2955</v>
      </c>
      <c r="AX55" s="18" t="s">
        <v>2985</v>
      </c>
      <c r="BD55" s="18" t="s">
        <v>2955</v>
      </c>
      <c r="BE55" s="18" t="s">
        <v>3007</v>
      </c>
      <c r="BK55" s="18" t="s">
        <v>3720</v>
      </c>
      <c r="BL55" s="18">
        <v>5</v>
      </c>
    </row>
    <row r="56" spans="2:64">
      <c r="B56" s="1" t="s">
        <v>795</v>
      </c>
      <c r="C56" s="19"/>
      <c r="E56" s="19"/>
      <c r="F56" s="19"/>
      <c r="G56" s="19" t="s">
        <v>862</v>
      </c>
      <c r="H56" s="19"/>
      <c r="I56" s="19"/>
      <c r="L56" s="19" t="s">
        <v>904</v>
      </c>
      <c r="R56" s="19" t="s">
        <v>989</v>
      </c>
      <c r="AA56" s="18" t="s">
        <v>400</v>
      </c>
      <c r="AB56" s="18" t="s">
        <v>750</v>
      </c>
      <c r="AC56" s="18" t="s">
        <v>1244</v>
      </c>
      <c r="AD56" s="18" t="s">
        <v>1798</v>
      </c>
      <c r="AE56" s="18" t="s">
        <v>2116</v>
      </c>
      <c r="AI56" s="18" t="s">
        <v>1029</v>
      </c>
      <c r="AJ56" s="18" t="s">
        <v>1187</v>
      </c>
      <c r="AK56" s="18" t="s">
        <v>1028</v>
      </c>
      <c r="AL56" s="18" t="s">
        <v>1021</v>
      </c>
      <c r="AM56" s="18" t="s">
        <v>2952</v>
      </c>
      <c r="AN56" s="18" t="s">
        <v>2954</v>
      </c>
      <c r="AP56" s="18" t="s">
        <v>1029</v>
      </c>
      <c r="AQ56" s="18" t="s">
        <v>1187</v>
      </c>
      <c r="AR56" s="18" t="s">
        <v>1028</v>
      </c>
      <c r="AS56" s="18" t="s">
        <v>1021</v>
      </c>
      <c r="AT56" s="18" t="s">
        <v>2952</v>
      </c>
      <c r="AU56" s="18" t="s">
        <v>2954</v>
      </c>
      <c r="AW56" s="18" t="s">
        <v>1029</v>
      </c>
      <c r="AX56" s="18" t="s">
        <v>1187</v>
      </c>
      <c r="AY56" s="18" t="s">
        <v>1028</v>
      </c>
      <c r="AZ56" s="18" t="s">
        <v>1021</v>
      </c>
      <c r="BA56" s="18" t="s">
        <v>2952</v>
      </c>
      <c r="BB56" s="18" t="s">
        <v>2954</v>
      </c>
      <c r="BD56" s="18" t="s">
        <v>1029</v>
      </c>
      <c r="BE56" s="18" t="s">
        <v>1187</v>
      </c>
      <c r="BF56" s="18" t="s">
        <v>1028</v>
      </c>
      <c r="BG56" s="18" t="s">
        <v>1021</v>
      </c>
      <c r="BH56" s="18" t="s">
        <v>2952</v>
      </c>
      <c r="BI56" s="18" t="s">
        <v>2954</v>
      </c>
      <c r="BK56" s="18" t="s">
        <v>3728</v>
      </c>
      <c r="BL56" s="18">
        <v>5</v>
      </c>
    </row>
    <row r="57" spans="2:64">
      <c r="B57" s="1" t="s">
        <v>796</v>
      </c>
      <c r="C57" s="19"/>
      <c r="E57" s="19"/>
      <c r="F57" s="19"/>
      <c r="G57" s="19" t="s">
        <v>863</v>
      </c>
      <c r="H57" s="19"/>
      <c r="I57" s="19"/>
      <c r="L57" s="19" t="s">
        <v>905</v>
      </c>
      <c r="R57" s="19" t="s">
        <v>990</v>
      </c>
      <c r="AA57" s="18" t="s">
        <v>401</v>
      </c>
      <c r="AB57" s="18" t="s">
        <v>751</v>
      </c>
      <c r="AC57" s="18" t="s">
        <v>1245</v>
      </c>
      <c r="AD57" s="18" t="s">
        <v>1799</v>
      </c>
      <c r="AE57" s="18" t="s">
        <v>2117</v>
      </c>
      <c r="AI57" s="18" t="s">
        <v>2744</v>
      </c>
      <c r="AJ57" s="18" t="s">
        <v>2965</v>
      </c>
      <c r="AK57" s="18" t="s">
        <v>2748</v>
      </c>
      <c r="AL57" s="18"/>
      <c r="AM57" s="18"/>
      <c r="AN57" s="18" t="s">
        <v>2960</v>
      </c>
      <c r="AP57" s="18" t="s">
        <v>2782</v>
      </c>
      <c r="AQ57" s="18" t="s">
        <v>2794</v>
      </c>
      <c r="AR57" s="18" t="s">
        <v>2788</v>
      </c>
      <c r="AS57" s="18"/>
      <c r="AT57" s="18"/>
      <c r="AU57" s="18"/>
      <c r="AW57" s="18" t="s">
        <v>2852</v>
      </c>
      <c r="AX57" s="18"/>
      <c r="AY57" s="18"/>
      <c r="AZ57" s="18"/>
      <c r="BA57" s="18" t="s">
        <v>2858</v>
      </c>
      <c r="BB57" s="18" t="s">
        <v>2986</v>
      </c>
      <c r="BD57" s="18" t="s">
        <v>2907</v>
      </c>
      <c r="BE57" s="18"/>
      <c r="BF57" s="18" t="s">
        <v>2714</v>
      </c>
      <c r="BG57" s="18" t="s">
        <v>2911</v>
      </c>
      <c r="BH57" s="18"/>
      <c r="BI57" s="18"/>
      <c r="BK57" s="18" t="s">
        <v>3716</v>
      </c>
      <c r="BL57" s="18">
        <v>5</v>
      </c>
    </row>
    <row r="58" spans="2:64">
      <c r="B58" s="1" t="s">
        <v>797</v>
      </c>
      <c r="C58" s="19"/>
      <c r="E58" s="19"/>
      <c r="F58" s="19"/>
      <c r="G58" s="19" t="s">
        <v>864</v>
      </c>
      <c r="H58" s="19"/>
      <c r="I58" s="19"/>
      <c r="L58" s="19" t="s">
        <v>906</v>
      </c>
      <c r="R58" s="19" t="s">
        <v>991</v>
      </c>
      <c r="AA58" s="18" t="s">
        <v>402</v>
      </c>
      <c r="AB58" s="18" t="s">
        <v>752</v>
      </c>
      <c r="AC58" s="18" t="s">
        <v>1246</v>
      </c>
      <c r="AD58" s="18" t="s">
        <v>1800</v>
      </c>
      <c r="AE58" s="18" t="s">
        <v>2118</v>
      </c>
      <c r="AI58" s="18" t="s">
        <v>2745</v>
      </c>
      <c r="AJ58" s="18" t="s">
        <v>2966</v>
      </c>
      <c r="AK58" s="18" t="s">
        <v>2749</v>
      </c>
      <c r="AL58" s="18"/>
      <c r="AM58" s="18"/>
      <c r="AN58" s="18" t="s">
        <v>2961</v>
      </c>
      <c r="AP58" s="18" t="s">
        <v>2783</v>
      </c>
      <c r="AQ58" s="18" t="s">
        <v>2795</v>
      </c>
      <c r="AR58" s="18" t="s">
        <v>2789</v>
      </c>
      <c r="AS58" s="18"/>
      <c r="AT58" s="18"/>
      <c r="AU58" s="18"/>
      <c r="AW58" s="18" t="s">
        <v>2853</v>
      </c>
      <c r="AX58" s="18"/>
      <c r="AY58" s="18"/>
      <c r="AZ58" s="18"/>
      <c r="BA58" s="18" t="s">
        <v>2859</v>
      </c>
      <c r="BB58" s="18" t="s">
        <v>2987</v>
      </c>
      <c r="BD58" s="18" t="s">
        <v>2908</v>
      </c>
      <c r="BE58" s="18"/>
      <c r="BF58" s="18" t="s">
        <v>2915</v>
      </c>
      <c r="BG58" s="18" t="s">
        <v>2912</v>
      </c>
      <c r="BH58" s="18"/>
      <c r="BI58" s="18"/>
      <c r="BK58" s="18" t="s">
        <v>3729</v>
      </c>
      <c r="BL58" s="18">
        <v>5</v>
      </c>
    </row>
    <row r="59" spans="2:64">
      <c r="AA59" s="18" t="s">
        <v>618</v>
      </c>
      <c r="AB59" s="18" t="s">
        <v>689</v>
      </c>
      <c r="AC59" s="18" t="s">
        <v>1247</v>
      </c>
      <c r="AD59" s="18" t="s">
        <v>1801</v>
      </c>
      <c r="AE59" s="18" t="s">
        <v>2119</v>
      </c>
      <c r="AI59" s="18" t="s">
        <v>2746</v>
      </c>
      <c r="AJ59" s="18" t="s">
        <v>2967</v>
      </c>
      <c r="AK59" s="18" t="s">
        <v>2750</v>
      </c>
      <c r="AL59" s="18"/>
      <c r="AM59" s="18"/>
      <c r="AN59" s="18" t="s">
        <v>2962</v>
      </c>
      <c r="AP59" s="18" t="s">
        <v>2784</v>
      </c>
      <c r="AQ59" s="18" t="s">
        <v>2796</v>
      </c>
      <c r="AR59" s="18" t="s">
        <v>2790</v>
      </c>
      <c r="AS59" s="18"/>
      <c r="AT59" s="18"/>
      <c r="AU59" s="18"/>
      <c r="AW59" s="18" t="s">
        <v>2854</v>
      </c>
      <c r="AX59" s="18"/>
      <c r="AY59" s="18"/>
      <c r="AZ59" s="18"/>
      <c r="BA59" s="18" t="s">
        <v>2860</v>
      </c>
      <c r="BB59" s="18" t="s">
        <v>2988</v>
      </c>
      <c r="BD59" s="18" t="s">
        <v>2909</v>
      </c>
      <c r="BE59" s="18"/>
      <c r="BF59" s="18" t="s">
        <v>2916</v>
      </c>
      <c r="BG59" s="18" t="s">
        <v>2913</v>
      </c>
      <c r="BH59" s="18"/>
      <c r="BI59" s="18"/>
      <c r="BK59" s="18" t="s">
        <v>3740</v>
      </c>
      <c r="BL59" s="18">
        <v>5</v>
      </c>
    </row>
    <row r="60" spans="2:64">
      <c r="AA60" s="18" t="s">
        <v>403</v>
      </c>
      <c r="AB60" s="18" t="s">
        <v>690</v>
      </c>
      <c r="AC60" s="18" t="s">
        <v>1248</v>
      </c>
      <c r="AD60" s="18" t="s">
        <v>1802</v>
      </c>
      <c r="AE60" s="18" t="s">
        <v>2120</v>
      </c>
      <c r="AI60" s="18" t="s">
        <v>2747</v>
      </c>
      <c r="AJ60" s="18" t="s">
        <v>2968</v>
      </c>
      <c r="AK60" s="18" t="s">
        <v>2751</v>
      </c>
      <c r="AL60" s="18"/>
      <c r="AM60" s="18"/>
      <c r="AN60" s="18" t="s">
        <v>2963</v>
      </c>
      <c r="AP60" s="18" t="s">
        <v>2785</v>
      </c>
      <c r="AQ60" s="18" t="s">
        <v>2797</v>
      </c>
      <c r="AR60" s="18" t="s">
        <v>2791</v>
      </c>
      <c r="AS60" s="18"/>
      <c r="AT60" s="18"/>
      <c r="AU60" s="18"/>
      <c r="AW60" s="18" t="s">
        <v>2855</v>
      </c>
      <c r="AX60" s="18"/>
      <c r="AY60" s="18"/>
      <c r="AZ60" s="18"/>
      <c r="BA60" s="18" t="s">
        <v>2861</v>
      </c>
      <c r="BB60" s="18" t="s">
        <v>2989</v>
      </c>
      <c r="BD60" s="18" t="s">
        <v>2910</v>
      </c>
      <c r="BE60" s="18"/>
      <c r="BF60" s="18" t="s">
        <v>2917</v>
      </c>
      <c r="BG60" s="18" t="s">
        <v>2914</v>
      </c>
      <c r="BH60" s="18"/>
      <c r="BI60" s="18"/>
      <c r="BK60" s="18" t="s">
        <v>3722</v>
      </c>
      <c r="BL60" s="18">
        <v>5</v>
      </c>
    </row>
    <row r="61" spans="2:64">
      <c r="AA61" s="18" t="s">
        <v>404</v>
      </c>
      <c r="AB61" s="18" t="s">
        <v>753</v>
      </c>
      <c r="AC61" s="18" t="s">
        <v>1249</v>
      </c>
      <c r="AD61" s="18" t="s">
        <v>1803</v>
      </c>
      <c r="AE61" s="18" t="s">
        <v>2121</v>
      </c>
      <c r="AI61" s="18"/>
      <c r="AJ61" s="18"/>
      <c r="AK61" s="18"/>
      <c r="AL61" s="18"/>
      <c r="AM61" s="18"/>
      <c r="AN61" s="18" t="s">
        <v>2964</v>
      </c>
      <c r="AP61" s="18" t="s">
        <v>2786</v>
      </c>
      <c r="AQ61" s="18" t="s">
        <v>2798</v>
      </c>
      <c r="AR61" s="18" t="s">
        <v>2792</v>
      </c>
      <c r="AS61" s="18"/>
      <c r="AT61" s="18"/>
      <c r="AU61" s="18"/>
      <c r="AW61" s="18" t="s">
        <v>2856</v>
      </c>
      <c r="AX61" s="18"/>
      <c r="AY61" s="18"/>
      <c r="AZ61" s="18"/>
      <c r="BA61" s="18" t="s">
        <v>2862</v>
      </c>
      <c r="BB61" s="18"/>
      <c r="BK61" s="18" t="s">
        <v>3730</v>
      </c>
      <c r="BL61" s="18">
        <v>5</v>
      </c>
    </row>
    <row r="62" spans="2:64">
      <c r="AA62" s="18" t="s">
        <v>405</v>
      </c>
      <c r="AB62" s="18" t="s">
        <v>754</v>
      </c>
      <c r="AC62" s="18" t="s">
        <v>1250</v>
      </c>
      <c r="AD62" s="18" t="s">
        <v>1804</v>
      </c>
      <c r="AE62" s="18" t="s">
        <v>2122</v>
      </c>
      <c r="AH62">
        <v>1</v>
      </c>
      <c r="AP62" s="18" t="s">
        <v>2787</v>
      </c>
      <c r="AQ62" s="18" t="s">
        <v>2799</v>
      </c>
      <c r="AR62" s="18" t="s">
        <v>2793</v>
      </c>
      <c r="AS62" s="18"/>
      <c r="AT62" s="18"/>
      <c r="AU62" s="18"/>
      <c r="AW62" s="18" t="s">
        <v>2857</v>
      </c>
      <c r="AX62" s="18"/>
      <c r="AY62" s="18"/>
      <c r="AZ62" s="18"/>
      <c r="BA62" s="18" t="s">
        <v>2863</v>
      </c>
      <c r="BB62" s="18"/>
      <c r="BK62" s="18" t="s">
        <v>3731</v>
      </c>
      <c r="BL62" s="18">
        <v>5</v>
      </c>
    </row>
    <row r="63" spans="2:64">
      <c r="AA63" s="18" t="s">
        <v>406</v>
      </c>
      <c r="AB63" s="18" t="s">
        <v>691</v>
      </c>
      <c r="AC63" s="18" t="s">
        <v>1251</v>
      </c>
      <c r="AD63" s="18" t="s">
        <v>1805</v>
      </c>
      <c r="AE63" s="18" t="s">
        <v>2123</v>
      </c>
      <c r="AH63">
        <v>2</v>
      </c>
      <c r="AP63" s="18"/>
      <c r="AQ63" s="18"/>
      <c r="AR63" s="18"/>
      <c r="AS63" s="18"/>
      <c r="AT63" s="18"/>
      <c r="AU63" s="18"/>
      <c r="AW63" s="18" t="s">
        <v>2864</v>
      </c>
      <c r="AX63" s="18"/>
      <c r="AY63" s="18"/>
      <c r="AZ63" s="18"/>
      <c r="BA63" s="18"/>
      <c r="BB63" s="18"/>
      <c r="BK63" s="18" t="s">
        <v>3739</v>
      </c>
      <c r="BL63" s="18">
        <v>5</v>
      </c>
    </row>
    <row r="64" spans="2:64">
      <c r="B64" s="1" t="s">
        <v>1084</v>
      </c>
      <c r="C64" s="1" t="s">
        <v>1088</v>
      </c>
      <c r="D64" s="1" t="s">
        <v>1089</v>
      </c>
      <c r="E64" s="1" t="s">
        <v>1090</v>
      </c>
      <c r="F64" s="1" t="s">
        <v>1091</v>
      </c>
      <c r="G64" s="1" t="s">
        <v>1092</v>
      </c>
      <c r="H64" s="1" t="s">
        <v>1093</v>
      </c>
      <c r="I64" s="1" t="s">
        <v>1094</v>
      </c>
      <c r="J64" s="1" t="s">
        <v>1095</v>
      </c>
      <c r="K64" s="1" t="s">
        <v>1096</v>
      </c>
      <c r="L64" s="1" t="s">
        <v>1097</v>
      </c>
      <c r="M64" s="1" t="s">
        <v>1098</v>
      </c>
      <c r="N64" s="1" t="s">
        <v>1099</v>
      </c>
      <c r="O64" s="1" t="s">
        <v>1148</v>
      </c>
      <c r="P64" s="1" t="s">
        <v>1149</v>
      </c>
      <c r="Q64" s="1" t="s">
        <v>1150</v>
      </c>
      <c r="R64" s="1" t="s">
        <v>1151</v>
      </c>
      <c r="S64" s="1" t="s">
        <v>1152</v>
      </c>
      <c r="T64" s="1" t="s">
        <v>1153</v>
      </c>
      <c r="AA64" s="18" t="s">
        <v>407</v>
      </c>
      <c r="AB64" s="18" t="s">
        <v>755</v>
      </c>
      <c r="AC64" s="18" t="s">
        <v>1252</v>
      </c>
      <c r="AD64" s="18" t="s">
        <v>1806</v>
      </c>
      <c r="AE64" s="18" t="s">
        <v>2124</v>
      </c>
      <c r="AH64">
        <v>3</v>
      </c>
      <c r="AP64" s="18"/>
      <c r="AQ64" s="18"/>
      <c r="AR64" s="18"/>
      <c r="AS64" s="18"/>
      <c r="AT64" s="18"/>
      <c r="AU64" s="18"/>
      <c r="AW64" s="18" t="s">
        <v>2865</v>
      </c>
      <c r="AX64" s="18"/>
      <c r="AY64" s="18"/>
      <c r="AZ64" s="18"/>
      <c r="BA64" s="18"/>
      <c r="BB64" s="18"/>
      <c r="BK64" s="18" t="s">
        <v>3705</v>
      </c>
      <c r="BL64" s="18">
        <v>5</v>
      </c>
    </row>
    <row r="65" spans="2:64">
      <c r="B65" s="1" t="s">
        <v>1085</v>
      </c>
      <c r="C65" s="19" t="s">
        <v>1032</v>
      </c>
      <c r="D65" s="19" t="s">
        <v>1038</v>
      </c>
      <c r="E65" s="19" t="s">
        <v>1044</v>
      </c>
      <c r="F65" s="19" t="s">
        <v>1052</v>
      </c>
      <c r="G65" s="19" t="s">
        <v>1064</v>
      </c>
      <c r="H65" s="19" t="s">
        <v>1074</v>
      </c>
      <c r="I65" s="19" t="s">
        <v>1100</v>
      </c>
      <c r="J65" s="19" t="s">
        <v>1108</v>
      </c>
      <c r="K65" s="19" t="s">
        <v>1116</v>
      </c>
      <c r="L65" s="19" t="s">
        <v>1120</v>
      </c>
      <c r="M65" s="19" t="s">
        <v>1131</v>
      </c>
      <c r="N65" s="19" t="s">
        <v>1138</v>
      </c>
      <c r="O65" s="19" t="s">
        <v>1100</v>
      </c>
      <c r="P65" s="19" t="s">
        <v>1111</v>
      </c>
      <c r="Q65" s="19" t="s">
        <v>1044</v>
      </c>
      <c r="R65" s="19" t="s">
        <v>1164</v>
      </c>
      <c r="S65" s="19" t="s">
        <v>1131</v>
      </c>
      <c r="T65" s="19" t="s">
        <v>1138</v>
      </c>
      <c r="AA65" s="18" t="s">
        <v>408</v>
      </c>
      <c r="AB65" s="18" t="s">
        <v>756</v>
      </c>
      <c r="AC65" s="18" t="s">
        <v>1253</v>
      </c>
      <c r="AD65" s="18" t="s">
        <v>1807</v>
      </c>
      <c r="AE65" s="18" t="s">
        <v>2125</v>
      </c>
      <c r="AH65">
        <v>4</v>
      </c>
      <c r="AP65" s="18"/>
      <c r="AQ65" s="18"/>
      <c r="AR65" s="18"/>
      <c r="AS65" s="18"/>
      <c r="AT65" s="18"/>
      <c r="AU65" s="18"/>
      <c r="AW65" s="18" t="s">
        <v>2866</v>
      </c>
      <c r="AX65" s="18"/>
      <c r="AY65" s="18"/>
      <c r="AZ65" s="18"/>
      <c r="BA65" s="18"/>
      <c r="BB65" s="18"/>
      <c r="BK65" s="18" t="s">
        <v>3732</v>
      </c>
      <c r="BL65" s="18">
        <v>5</v>
      </c>
    </row>
    <row r="66" spans="2:64">
      <c r="B66" s="1" t="s">
        <v>1086</v>
      </c>
      <c r="C66" s="19" t="s">
        <v>1033</v>
      </c>
      <c r="D66" s="19" t="s">
        <v>1039</v>
      </c>
      <c r="E66" s="19" t="s">
        <v>1045</v>
      </c>
      <c r="F66" s="19" t="s">
        <v>1053</v>
      </c>
      <c r="G66" s="19" t="s">
        <v>1065</v>
      </c>
      <c r="H66" s="19" t="s">
        <v>1075</v>
      </c>
      <c r="I66" s="19" t="s">
        <v>1101</v>
      </c>
      <c r="J66" s="19" t="s">
        <v>1109</v>
      </c>
      <c r="K66" s="19" t="s">
        <v>1045</v>
      </c>
      <c r="L66" s="19" t="s">
        <v>1121</v>
      </c>
      <c r="M66" s="19" t="s">
        <v>1132</v>
      </c>
      <c r="N66" s="19" t="s">
        <v>1075</v>
      </c>
      <c r="O66" s="19" t="s">
        <v>1105</v>
      </c>
      <c r="P66" s="19" t="s">
        <v>1110</v>
      </c>
      <c r="Q66" s="19" t="s">
        <v>1045</v>
      </c>
      <c r="R66" s="19" t="s">
        <v>1165</v>
      </c>
      <c r="S66" s="19" t="s">
        <v>1172</v>
      </c>
      <c r="T66" s="19" t="s">
        <v>1075</v>
      </c>
      <c r="AA66" s="18" t="s">
        <v>409</v>
      </c>
      <c r="AB66" s="18" t="s">
        <v>757</v>
      </c>
      <c r="AC66" s="18" t="s">
        <v>1254</v>
      </c>
      <c r="AD66" s="18" t="s">
        <v>1808</v>
      </c>
      <c r="AE66" s="18" t="s">
        <v>2126</v>
      </c>
      <c r="AH66">
        <v>5</v>
      </c>
      <c r="AP66" s="18"/>
      <c r="AQ66" s="18"/>
      <c r="AR66" s="18"/>
      <c r="AS66" s="18"/>
      <c r="AT66" s="18"/>
      <c r="AU66" s="18"/>
      <c r="AW66" s="18" t="s">
        <v>2867</v>
      </c>
      <c r="AX66" s="18"/>
      <c r="AY66" s="18"/>
      <c r="AZ66" s="18"/>
      <c r="BA66" s="18"/>
      <c r="BB66" s="18"/>
      <c r="BK66" s="18" t="s">
        <v>3723</v>
      </c>
      <c r="BL66" s="18">
        <v>5</v>
      </c>
    </row>
    <row r="67" spans="2:64">
      <c r="B67" s="1" t="s">
        <v>1087</v>
      </c>
      <c r="C67" s="19" t="s">
        <v>1034</v>
      </c>
      <c r="D67" s="19" t="s">
        <v>1040</v>
      </c>
      <c r="E67" s="19" t="s">
        <v>1046</v>
      </c>
      <c r="F67" s="19" t="s">
        <v>1054</v>
      </c>
      <c r="G67" s="19" t="s">
        <v>1066</v>
      </c>
      <c r="H67" s="19" t="s">
        <v>1076</v>
      </c>
      <c r="I67" s="19" t="s">
        <v>1102</v>
      </c>
      <c r="J67" s="19" t="s">
        <v>1110</v>
      </c>
      <c r="K67" s="19" t="s">
        <v>1117</v>
      </c>
      <c r="L67" s="19" t="s">
        <v>1122</v>
      </c>
      <c r="M67" s="19" t="s">
        <v>1068</v>
      </c>
      <c r="N67" s="19" t="s">
        <v>1139</v>
      </c>
      <c r="O67" s="19" t="s">
        <v>1154</v>
      </c>
      <c r="P67" s="19" t="s">
        <v>1160</v>
      </c>
      <c r="Q67" s="19" t="s">
        <v>1046</v>
      </c>
      <c r="R67" s="19" t="s">
        <v>1166</v>
      </c>
      <c r="S67" s="19" t="s">
        <v>1173</v>
      </c>
      <c r="T67" s="19" t="s">
        <v>1179</v>
      </c>
      <c r="AA67" s="18" t="s">
        <v>410</v>
      </c>
      <c r="AB67" s="18" t="s">
        <v>758</v>
      </c>
      <c r="AC67" s="18" t="s">
        <v>1255</v>
      </c>
      <c r="AD67" s="18" t="s">
        <v>1809</v>
      </c>
      <c r="AE67" s="18" t="s">
        <v>2127</v>
      </c>
      <c r="AH67">
        <v>6</v>
      </c>
      <c r="AP67" s="18"/>
      <c r="AQ67" s="18"/>
      <c r="AR67" s="18"/>
      <c r="AS67" s="18"/>
      <c r="AT67" s="18"/>
      <c r="AU67" s="18"/>
      <c r="AW67" s="18" t="s">
        <v>2868</v>
      </c>
      <c r="AX67" s="18"/>
      <c r="AY67" s="18"/>
      <c r="AZ67" s="18"/>
      <c r="BA67" s="18"/>
      <c r="BB67" s="18"/>
      <c r="BK67" s="18" t="s">
        <v>3734</v>
      </c>
      <c r="BL67" s="18">
        <v>5</v>
      </c>
    </row>
    <row r="68" spans="2:64">
      <c r="C68" s="19" t="s">
        <v>1035</v>
      </c>
      <c r="D68" s="19" t="s">
        <v>1041</v>
      </c>
      <c r="E68" s="19" t="s">
        <v>1047</v>
      </c>
      <c r="F68" s="19" t="s">
        <v>1055</v>
      </c>
      <c r="G68" s="19" t="s">
        <v>1067</v>
      </c>
      <c r="H68" s="19" t="s">
        <v>1077</v>
      </c>
      <c r="I68" s="19" t="s">
        <v>1103</v>
      </c>
      <c r="J68" s="19" t="s">
        <v>1111</v>
      </c>
      <c r="K68" s="19" t="s">
        <v>1047</v>
      </c>
      <c r="L68" s="19" t="s">
        <v>1058</v>
      </c>
      <c r="M68" s="19" t="s">
        <v>1133</v>
      </c>
      <c r="N68" s="19" t="s">
        <v>1140</v>
      </c>
      <c r="O68" s="19" t="s">
        <v>1155</v>
      </c>
      <c r="P68" s="19" t="s">
        <v>1161</v>
      </c>
      <c r="Q68" s="19" t="s">
        <v>1047</v>
      </c>
      <c r="R68" s="19" t="s">
        <v>1125</v>
      </c>
      <c r="S68" s="19" t="s">
        <v>1174</v>
      </c>
      <c r="T68" s="19" t="s">
        <v>1180</v>
      </c>
      <c r="AA68" s="18" t="s">
        <v>642</v>
      </c>
      <c r="AB68" s="18" t="s">
        <v>692</v>
      </c>
      <c r="AC68" s="18" t="s">
        <v>1256</v>
      </c>
      <c r="AD68" s="18" t="s">
        <v>1810</v>
      </c>
      <c r="AE68" s="18" t="s">
        <v>2128</v>
      </c>
      <c r="AH68">
        <v>7</v>
      </c>
      <c r="AP68" s="18"/>
      <c r="AQ68" s="18"/>
      <c r="AR68" s="18"/>
      <c r="AS68" s="18"/>
      <c r="AT68" s="18"/>
      <c r="AU68" s="18"/>
      <c r="AW68" s="18" t="s">
        <v>2869</v>
      </c>
      <c r="AX68" s="18"/>
      <c r="AY68" s="18"/>
      <c r="AZ68" s="18"/>
      <c r="BA68" s="18"/>
      <c r="BB68" s="18"/>
      <c r="BK68" s="18" t="s">
        <v>3706</v>
      </c>
      <c r="BL68" s="18">
        <v>5</v>
      </c>
    </row>
    <row r="69" spans="2:64">
      <c r="C69" s="19" t="s">
        <v>1036</v>
      </c>
      <c r="D69" s="19" t="s">
        <v>1042</v>
      </c>
      <c r="E69" s="19" t="s">
        <v>1048</v>
      </c>
      <c r="F69" s="19" t="s">
        <v>1056</v>
      </c>
      <c r="G69" s="19" t="s">
        <v>1068</v>
      </c>
      <c r="H69" s="19" t="s">
        <v>1078</v>
      </c>
      <c r="I69" s="19" t="s">
        <v>1104</v>
      </c>
      <c r="J69" s="19" t="s">
        <v>1112</v>
      </c>
      <c r="K69" s="19" t="s">
        <v>1048</v>
      </c>
      <c r="L69" s="19" t="s">
        <v>1123</v>
      </c>
      <c r="M69" s="19" t="s">
        <v>1134</v>
      </c>
      <c r="N69" s="19" t="s">
        <v>1141</v>
      </c>
      <c r="O69" s="19" t="s">
        <v>1156</v>
      </c>
      <c r="P69" s="19" t="s">
        <v>1162</v>
      </c>
      <c r="Q69" s="19" t="s">
        <v>1048</v>
      </c>
      <c r="R69" s="19" t="s">
        <v>2348</v>
      </c>
      <c r="S69" s="19" t="s">
        <v>1175</v>
      </c>
      <c r="T69" s="19" t="s">
        <v>1181</v>
      </c>
      <c r="AA69" s="18" t="s">
        <v>411</v>
      </c>
      <c r="AB69" s="18" t="s">
        <v>759</v>
      </c>
      <c r="AC69" s="18" t="s">
        <v>1257</v>
      </c>
      <c r="AD69" s="18" t="s">
        <v>1811</v>
      </c>
      <c r="AE69" s="18" t="s">
        <v>1289</v>
      </c>
      <c r="AH69">
        <v>8</v>
      </c>
      <c r="AP69" s="18"/>
      <c r="AQ69" s="18"/>
      <c r="AR69" s="18"/>
      <c r="AS69" s="18"/>
      <c r="AT69" s="18"/>
      <c r="AU69" s="18"/>
      <c r="BK69" s="18" t="s">
        <v>3707</v>
      </c>
      <c r="BL69" s="18">
        <v>5</v>
      </c>
    </row>
    <row r="70" spans="2:64">
      <c r="C70" s="19" t="s">
        <v>1037</v>
      </c>
      <c r="D70" s="19" t="s">
        <v>1043</v>
      </c>
      <c r="E70" s="19" t="s">
        <v>1049</v>
      </c>
      <c r="F70" s="19" t="s">
        <v>1057</v>
      </c>
      <c r="G70" s="19" t="s">
        <v>1069</v>
      </c>
      <c r="H70" s="19" t="s">
        <v>1079</v>
      </c>
      <c r="I70" s="19" t="s">
        <v>1105</v>
      </c>
      <c r="J70" s="19" t="s">
        <v>1113</v>
      </c>
      <c r="K70" s="19" t="s">
        <v>1118</v>
      </c>
      <c r="L70" s="19" t="s">
        <v>1124</v>
      </c>
      <c r="M70" s="19" t="s">
        <v>1135</v>
      </c>
      <c r="N70" s="19" t="s">
        <v>1142</v>
      </c>
      <c r="O70" s="19" t="s">
        <v>1157</v>
      </c>
      <c r="P70" s="19" t="s">
        <v>1163</v>
      </c>
      <c r="Q70" s="19" t="s">
        <v>1118</v>
      </c>
      <c r="R70" s="19" t="s">
        <v>1124</v>
      </c>
      <c r="S70" s="19" t="s">
        <v>1176</v>
      </c>
      <c r="T70" s="19" t="s">
        <v>1182</v>
      </c>
      <c r="AA70" s="18" t="s">
        <v>412</v>
      </c>
      <c r="AB70" s="18" t="s">
        <v>760</v>
      </c>
      <c r="AC70" s="18" t="s">
        <v>1258</v>
      </c>
      <c r="AD70" s="18" t="s">
        <v>1812</v>
      </c>
      <c r="AE70" s="18" t="s">
        <v>2129</v>
      </c>
      <c r="AH70">
        <v>9</v>
      </c>
      <c r="AP70" s="18"/>
      <c r="AQ70" s="18"/>
      <c r="AR70" s="18"/>
      <c r="AS70" s="18"/>
      <c r="AT70" s="18"/>
      <c r="AU70" s="18"/>
      <c r="BK70" s="18" t="s">
        <v>3735</v>
      </c>
      <c r="BL70" s="18">
        <v>5</v>
      </c>
    </row>
    <row r="71" spans="2:64">
      <c r="E71" s="19" t="s">
        <v>1050</v>
      </c>
      <c r="F71" s="19" t="s">
        <v>1058</v>
      </c>
      <c r="G71" s="19" t="s">
        <v>1070</v>
      </c>
      <c r="H71" s="19" t="s">
        <v>1080</v>
      </c>
      <c r="I71" s="19" t="s">
        <v>1106</v>
      </c>
      <c r="J71" s="19" t="s">
        <v>1114</v>
      </c>
      <c r="K71" s="19" t="s">
        <v>1050</v>
      </c>
      <c r="L71" s="19" t="s">
        <v>1125</v>
      </c>
      <c r="M71" s="19" t="s">
        <v>1136</v>
      </c>
      <c r="N71" s="19" t="s">
        <v>1143</v>
      </c>
      <c r="O71" s="19" t="s">
        <v>1158</v>
      </c>
      <c r="Q71" s="19" t="s">
        <v>1050</v>
      </c>
      <c r="R71" s="19" t="s">
        <v>1167</v>
      </c>
      <c r="S71" s="19" t="s">
        <v>1177</v>
      </c>
      <c r="T71" s="19" t="s">
        <v>1183</v>
      </c>
      <c r="AA71" s="18" t="s">
        <v>413</v>
      </c>
      <c r="AB71" s="18" t="s">
        <v>761</v>
      </c>
      <c r="AC71" s="18" t="s">
        <v>1259</v>
      </c>
      <c r="AD71" s="18" t="s">
        <v>1276</v>
      </c>
      <c r="AE71" s="18" t="s">
        <v>2130</v>
      </c>
      <c r="AH71">
        <v>10</v>
      </c>
      <c r="AP71" s="18"/>
      <c r="AQ71" s="18"/>
      <c r="AR71" s="18"/>
      <c r="AS71" s="18"/>
      <c r="AT71" s="18"/>
      <c r="AU71" s="18"/>
      <c r="BK71" s="18" t="s">
        <v>3715</v>
      </c>
      <c r="BL71" s="18">
        <v>5</v>
      </c>
    </row>
    <row r="72" spans="2:64">
      <c r="E72" s="19" t="s">
        <v>1051</v>
      </c>
      <c r="F72" s="19" t="s">
        <v>1059</v>
      </c>
      <c r="G72" s="19" t="s">
        <v>1071</v>
      </c>
      <c r="H72" s="19" t="s">
        <v>1081</v>
      </c>
      <c r="I72" s="19" t="s">
        <v>1107</v>
      </c>
      <c r="J72" s="19" t="s">
        <v>1115</v>
      </c>
      <c r="K72" s="19" t="s">
        <v>1119</v>
      </c>
      <c r="L72" s="19" t="s">
        <v>1126</v>
      </c>
      <c r="M72" s="1" t="s">
        <v>1137</v>
      </c>
      <c r="N72" s="19" t="s">
        <v>1144</v>
      </c>
      <c r="O72" s="19" t="s">
        <v>1159</v>
      </c>
      <c r="Q72" s="19" t="s">
        <v>1051</v>
      </c>
      <c r="R72" s="19" t="s">
        <v>1126</v>
      </c>
      <c r="S72" s="19" t="s">
        <v>1178</v>
      </c>
      <c r="T72" s="19" t="s">
        <v>1184</v>
      </c>
      <c r="AA72" s="18" t="s">
        <v>414</v>
      </c>
      <c r="AB72" s="18" t="s">
        <v>693</v>
      </c>
      <c r="AC72" s="18" t="s">
        <v>1260</v>
      </c>
      <c r="AD72" s="18" t="s">
        <v>1813</v>
      </c>
      <c r="AE72" s="18" t="s">
        <v>2131</v>
      </c>
      <c r="AI72" s="18" t="s">
        <v>2955</v>
      </c>
      <c r="AJ72" s="18" t="s">
        <v>3008</v>
      </c>
      <c r="AP72" s="18" t="s">
        <v>2955</v>
      </c>
      <c r="AQ72" s="18" t="s">
        <v>3015</v>
      </c>
      <c r="AR72" s="18"/>
      <c r="AS72" s="18"/>
      <c r="AT72" s="18"/>
      <c r="AU72" s="18"/>
      <c r="AW72" s="18" t="s">
        <v>2955</v>
      </c>
      <c r="AX72" s="18" t="s">
        <v>3016</v>
      </c>
      <c r="BK72" s="18" t="s">
        <v>3717</v>
      </c>
      <c r="BL72" s="18">
        <v>5</v>
      </c>
    </row>
    <row r="73" spans="2:64">
      <c r="F73" s="19" t="s">
        <v>1060</v>
      </c>
      <c r="G73" s="19" t="s">
        <v>1072</v>
      </c>
      <c r="H73" s="19" t="s">
        <v>1082</v>
      </c>
      <c r="L73" s="19" t="s">
        <v>1127</v>
      </c>
      <c r="N73" s="19" t="s">
        <v>910</v>
      </c>
      <c r="R73" s="19" t="s">
        <v>1168</v>
      </c>
      <c r="T73" s="19" t="s">
        <v>910</v>
      </c>
      <c r="AA73" s="18" t="s">
        <v>415</v>
      </c>
      <c r="AB73" s="18" t="s">
        <v>730</v>
      </c>
      <c r="AC73" s="18" t="s">
        <v>1261</v>
      </c>
      <c r="AD73" s="18" t="s">
        <v>1814</v>
      </c>
      <c r="AE73" s="18" t="s">
        <v>2132</v>
      </c>
      <c r="AI73" s="18" t="s">
        <v>1029</v>
      </c>
      <c r="AJ73" s="18" t="s">
        <v>1187</v>
      </c>
      <c r="AK73" s="18" t="s">
        <v>1028</v>
      </c>
      <c r="AL73" s="18" t="s">
        <v>1021</v>
      </c>
      <c r="AM73" s="18" t="s">
        <v>2952</v>
      </c>
      <c r="AN73" s="18" t="s">
        <v>2954</v>
      </c>
      <c r="AP73" s="18" t="s">
        <v>1029</v>
      </c>
      <c r="AQ73" s="18" t="s">
        <v>1187</v>
      </c>
      <c r="AR73" s="18" t="s">
        <v>1028</v>
      </c>
      <c r="AS73" s="18" t="s">
        <v>1021</v>
      </c>
      <c r="AT73" s="18" t="s">
        <v>2952</v>
      </c>
      <c r="AU73" s="18" t="s">
        <v>2954</v>
      </c>
      <c r="AW73" s="18" t="s">
        <v>1029</v>
      </c>
      <c r="AX73" s="18" t="s">
        <v>1187</v>
      </c>
      <c r="AY73" s="18" t="s">
        <v>1028</v>
      </c>
      <c r="AZ73" s="18" t="s">
        <v>1021</v>
      </c>
      <c r="BA73" s="18" t="s">
        <v>2952</v>
      </c>
      <c r="BB73" s="18" t="s">
        <v>2954</v>
      </c>
      <c r="BK73" s="18" t="s">
        <v>3718</v>
      </c>
      <c r="BL73" s="18">
        <v>5</v>
      </c>
    </row>
    <row r="74" spans="2:64">
      <c r="F74" s="19" t="s">
        <v>1061</v>
      </c>
      <c r="G74" s="19" t="s">
        <v>1073</v>
      </c>
      <c r="H74" s="19" t="s">
        <v>1083</v>
      </c>
      <c r="L74" s="19" t="s">
        <v>1128</v>
      </c>
      <c r="N74" s="19" t="s">
        <v>1145</v>
      </c>
      <c r="R74" s="19" t="s">
        <v>1169</v>
      </c>
      <c r="T74" s="19" t="s">
        <v>1145</v>
      </c>
      <c r="AA74" s="18" t="s">
        <v>416</v>
      </c>
      <c r="AB74" s="18" t="s">
        <v>762</v>
      </c>
      <c r="AC74" s="18" t="s">
        <v>1262</v>
      </c>
      <c r="AD74" s="18" t="s">
        <v>1815</v>
      </c>
      <c r="AE74" s="18" t="s">
        <v>2133</v>
      </c>
      <c r="AI74" s="18" t="s">
        <v>2918</v>
      </c>
      <c r="AJ74" s="18"/>
      <c r="AK74" s="18" t="s">
        <v>2924</v>
      </c>
      <c r="AL74" s="18"/>
      <c r="AM74" s="18"/>
      <c r="AN74" s="18" t="s">
        <v>3009</v>
      </c>
      <c r="AP74" s="18" t="s">
        <v>2930</v>
      </c>
      <c r="AQ74" s="18" t="s">
        <v>2937</v>
      </c>
      <c r="AR74" s="18" t="s">
        <v>2933</v>
      </c>
      <c r="AS74" s="18"/>
      <c r="AT74" s="18"/>
      <c r="AU74" s="18"/>
      <c r="AW74" s="18" t="s">
        <v>2941</v>
      </c>
      <c r="AX74" s="18" t="s">
        <v>2948</v>
      </c>
      <c r="AY74" s="18" t="s">
        <v>2945</v>
      </c>
      <c r="AZ74" s="18"/>
      <c r="BA74" s="18"/>
      <c r="BB74" s="18"/>
      <c r="BK74" s="18" t="s">
        <v>3724</v>
      </c>
      <c r="BL74" s="18">
        <v>5</v>
      </c>
    </row>
    <row r="75" spans="2:64">
      <c r="F75" s="19" t="s">
        <v>1062</v>
      </c>
      <c r="L75" s="19" t="s">
        <v>1129</v>
      </c>
      <c r="N75" s="19" t="s">
        <v>1146</v>
      </c>
      <c r="R75" s="19" t="s">
        <v>1170</v>
      </c>
      <c r="T75" s="19" t="s">
        <v>1146</v>
      </c>
      <c r="AA75" s="18" t="s">
        <v>417</v>
      </c>
      <c r="AB75" s="18" t="s">
        <v>763</v>
      </c>
      <c r="AC75" s="18" t="s">
        <v>1263</v>
      </c>
      <c r="AD75" s="18" t="s">
        <v>1815</v>
      </c>
      <c r="AE75" s="18" t="s">
        <v>2134</v>
      </c>
      <c r="AI75" s="18" t="s">
        <v>2919</v>
      </c>
      <c r="AJ75" s="18"/>
      <c r="AK75" s="18" t="s">
        <v>2925</v>
      </c>
      <c r="AL75" s="18"/>
      <c r="AM75" s="18"/>
      <c r="AN75" s="18" t="s">
        <v>3010</v>
      </c>
      <c r="AP75" s="18" t="s">
        <v>2755</v>
      </c>
      <c r="AQ75" s="18" t="s">
        <v>2938</v>
      </c>
      <c r="AR75" s="18" t="s">
        <v>2934</v>
      </c>
      <c r="AS75" s="18"/>
      <c r="AT75" s="18"/>
      <c r="AU75" s="18"/>
      <c r="AW75" s="18" t="s">
        <v>2942</v>
      </c>
      <c r="AX75" s="18" t="s">
        <v>2949</v>
      </c>
      <c r="AY75" s="18" t="s">
        <v>2946</v>
      </c>
      <c r="AZ75" s="18"/>
      <c r="BA75" s="18"/>
      <c r="BB75" s="18"/>
      <c r="BK75" s="18" t="s">
        <v>3711</v>
      </c>
      <c r="BL75" s="18">
        <v>5</v>
      </c>
    </row>
    <row r="76" spans="2:64">
      <c r="F76" s="19" t="s">
        <v>1063</v>
      </c>
      <c r="L76" s="1" t="s">
        <v>1130</v>
      </c>
      <c r="N76" s="19" t="s">
        <v>1147</v>
      </c>
      <c r="R76" s="19" t="s">
        <v>1171</v>
      </c>
      <c r="T76" s="19" t="s">
        <v>1185</v>
      </c>
      <c r="AA76" s="18" t="s">
        <v>418</v>
      </c>
      <c r="AB76" s="18" t="s">
        <v>764</v>
      </c>
      <c r="AC76" s="18" t="s">
        <v>1264</v>
      </c>
      <c r="AD76" s="18" t="s">
        <v>1815</v>
      </c>
      <c r="AE76" s="18" t="s">
        <v>2135</v>
      </c>
      <c r="AI76" s="18" t="s">
        <v>2920</v>
      </c>
      <c r="AJ76" s="18"/>
      <c r="AK76" s="18" t="s">
        <v>2926</v>
      </c>
      <c r="AL76" s="18"/>
      <c r="AM76" s="18"/>
      <c r="AN76" s="18" t="s">
        <v>3011</v>
      </c>
      <c r="AP76" s="18" t="s">
        <v>2931</v>
      </c>
      <c r="AQ76" s="18" t="s">
        <v>2939</v>
      </c>
      <c r="AR76" s="18" t="s">
        <v>2935</v>
      </c>
      <c r="AS76" s="18"/>
      <c r="AT76" s="18"/>
      <c r="AU76" s="18"/>
      <c r="AW76" s="18" t="s">
        <v>2943</v>
      </c>
      <c r="AX76" s="18" t="s">
        <v>2950</v>
      </c>
      <c r="AY76" s="18" t="s">
        <v>2947</v>
      </c>
      <c r="AZ76" s="18"/>
      <c r="BA76" s="18"/>
      <c r="BB76" s="18"/>
      <c r="BK76" s="18" t="s">
        <v>3733</v>
      </c>
      <c r="BL76" s="18">
        <v>5</v>
      </c>
    </row>
    <row r="77" spans="2:64">
      <c r="AA77" s="18" t="s">
        <v>419</v>
      </c>
      <c r="AB77" s="18" t="s">
        <v>694</v>
      </c>
      <c r="AC77" s="18" t="s">
        <v>1265</v>
      </c>
      <c r="AD77" s="18" t="s">
        <v>1816</v>
      </c>
      <c r="AE77" s="18" t="s">
        <v>1828</v>
      </c>
      <c r="AI77" s="18" t="s">
        <v>2921</v>
      </c>
      <c r="AJ77" s="18"/>
      <c r="AK77" s="18" t="s">
        <v>2927</v>
      </c>
      <c r="AL77" s="18"/>
      <c r="AM77" s="18"/>
      <c r="AN77" s="18" t="s">
        <v>3012</v>
      </c>
      <c r="AP77" s="18" t="s">
        <v>2932</v>
      </c>
      <c r="AQ77" s="18" t="s">
        <v>2940</v>
      </c>
      <c r="AR77" s="18" t="s">
        <v>2936</v>
      </c>
      <c r="AS77" s="18"/>
      <c r="AT77" s="18"/>
      <c r="AU77" s="18"/>
      <c r="AW77" s="18" t="s">
        <v>2944</v>
      </c>
      <c r="AX77" s="18" t="s">
        <v>2951</v>
      </c>
      <c r="AY77" s="18" t="s">
        <v>2825</v>
      </c>
      <c r="AZ77" s="18"/>
      <c r="BA77" s="18"/>
      <c r="BB77" s="18"/>
      <c r="BK77" s="18" t="s">
        <v>3708</v>
      </c>
      <c r="BL77" s="18">
        <v>5</v>
      </c>
    </row>
    <row r="78" spans="2:64">
      <c r="AA78" s="18" t="s">
        <v>420</v>
      </c>
      <c r="AB78" s="18" t="s">
        <v>695</v>
      </c>
      <c r="AC78" s="18" t="s">
        <v>1266</v>
      </c>
      <c r="AD78" s="18" t="s">
        <v>1817</v>
      </c>
      <c r="AE78" s="18" t="s">
        <v>2136</v>
      </c>
      <c r="AI78" s="18" t="s">
        <v>2922</v>
      </c>
      <c r="AJ78" s="18"/>
      <c r="AK78" s="18" t="s">
        <v>2928</v>
      </c>
      <c r="AL78" s="18"/>
      <c r="AM78" s="18"/>
      <c r="AN78" s="18" t="s">
        <v>3013</v>
      </c>
      <c r="AP78" s="18"/>
      <c r="AQ78" s="18"/>
      <c r="AR78" s="18"/>
      <c r="AS78" s="18"/>
      <c r="AT78" s="18"/>
      <c r="AU78" s="18"/>
      <c r="BK78" s="18" t="s">
        <v>3721</v>
      </c>
      <c r="BL78" s="18">
        <v>5</v>
      </c>
    </row>
    <row r="79" spans="2:64">
      <c r="AA79" s="18" t="s">
        <v>421</v>
      </c>
      <c r="AB79" s="18" t="s">
        <v>765</v>
      </c>
      <c r="AC79" s="18" t="s">
        <v>1267</v>
      </c>
      <c r="AD79" s="18" t="s">
        <v>1818</v>
      </c>
      <c r="AE79" s="18" t="s">
        <v>2137</v>
      </c>
      <c r="AI79" s="18" t="s">
        <v>2923</v>
      </c>
      <c r="AJ79" s="18"/>
      <c r="AK79" s="18" t="s">
        <v>2929</v>
      </c>
      <c r="AL79" s="18"/>
      <c r="AM79" s="18"/>
      <c r="AN79" s="18" t="s">
        <v>3014</v>
      </c>
      <c r="AP79" s="18"/>
      <c r="AQ79" s="18"/>
      <c r="AR79" s="18"/>
      <c r="AS79" s="18"/>
      <c r="AT79" s="18"/>
      <c r="AU79" s="18"/>
      <c r="BK79" s="18" t="s">
        <v>3736</v>
      </c>
      <c r="BL79" s="18">
        <v>5</v>
      </c>
    </row>
    <row r="80" spans="2:64">
      <c r="B80" s="1" t="s">
        <v>2350</v>
      </c>
      <c r="C80" s="1" t="s">
        <v>2351</v>
      </c>
      <c r="D80" s="1" t="s">
        <v>2352</v>
      </c>
      <c r="E80" s="1" t="s">
        <v>2353</v>
      </c>
      <c r="F80" s="1" t="s">
        <v>2354</v>
      </c>
      <c r="G80" s="1" t="s">
        <v>2649</v>
      </c>
      <c r="H80" s="1" t="s">
        <v>2355</v>
      </c>
      <c r="I80" s="1" t="s">
        <v>2356</v>
      </c>
      <c r="J80" s="1" t="s">
        <v>2357</v>
      </c>
      <c r="K80" s="1" t="s">
        <v>2358</v>
      </c>
      <c r="L80" s="1" t="s">
        <v>2359</v>
      </c>
      <c r="M80" s="1" t="s">
        <v>2360</v>
      </c>
      <c r="N80" s="1" t="s">
        <v>2361</v>
      </c>
      <c r="O80" s="1" t="s">
        <v>2362</v>
      </c>
      <c r="P80" s="1" t="s">
        <v>2363</v>
      </c>
      <c r="Q80" s="1" t="s">
        <v>2364</v>
      </c>
      <c r="AA80" s="18" t="s">
        <v>422</v>
      </c>
      <c r="AB80" s="18" t="s">
        <v>696</v>
      </c>
      <c r="AC80" s="18" t="s">
        <v>1268</v>
      </c>
      <c r="AD80" s="18" t="s">
        <v>1819</v>
      </c>
      <c r="AE80" s="18" t="s">
        <v>2138</v>
      </c>
      <c r="AP80" s="18"/>
      <c r="AQ80" s="18"/>
      <c r="AR80" s="18"/>
      <c r="AS80" s="18"/>
      <c r="AT80" s="18"/>
      <c r="AU80" s="18"/>
      <c r="BK80" s="18" t="s">
        <v>3020</v>
      </c>
      <c r="BL80" s="18">
        <v>12</v>
      </c>
    </row>
    <row r="81" spans="2:64">
      <c r="B81" s="1" t="s">
        <v>2365</v>
      </c>
      <c r="C81" s="1" t="s">
        <v>2385</v>
      </c>
      <c r="D81" s="1" t="s">
        <v>2405</v>
      </c>
      <c r="E81" s="1" t="s">
        <v>2415</v>
      </c>
      <c r="F81" s="1" t="s">
        <v>2427</v>
      </c>
      <c r="G81" s="1" t="s">
        <v>2439</v>
      </c>
      <c r="H81" s="1" t="s">
        <v>2445</v>
      </c>
      <c r="I81" s="1" t="s">
        <v>2456</v>
      </c>
      <c r="J81" s="1" t="s">
        <v>2459</v>
      </c>
      <c r="K81" s="1" t="s">
        <v>2474</v>
      </c>
      <c r="L81" s="1" t="s">
        <v>2487</v>
      </c>
      <c r="M81" s="1" t="s">
        <v>2499</v>
      </c>
      <c r="N81" s="1" t="s">
        <v>2509</v>
      </c>
      <c r="O81" s="1" t="s">
        <v>2521</v>
      </c>
      <c r="P81" s="1" t="s">
        <v>2633</v>
      </c>
      <c r="Q81" s="1" t="s">
        <v>2641</v>
      </c>
      <c r="AA81" s="18" t="s">
        <v>423</v>
      </c>
      <c r="AB81" s="18" t="s">
        <v>697</v>
      </c>
      <c r="AC81" s="18" t="s">
        <v>1269</v>
      </c>
      <c r="AD81" s="18" t="s">
        <v>1820</v>
      </c>
      <c r="AE81" s="18" t="s">
        <v>2139</v>
      </c>
      <c r="AP81" s="18"/>
      <c r="AQ81" s="18"/>
      <c r="AR81" s="18"/>
      <c r="AS81" s="18"/>
      <c r="AT81" s="18"/>
      <c r="AU81" s="18"/>
      <c r="BK81" s="18" t="s">
        <v>3024</v>
      </c>
      <c r="BL81" s="18">
        <v>12</v>
      </c>
    </row>
    <row r="82" spans="2:64">
      <c r="B82" s="1" t="s">
        <v>2366</v>
      </c>
      <c r="C82" s="1" t="s">
        <v>2386</v>
      </c>
      <c r="D82" s="1" t="s">
        <v>2406</v>
      </c>
      <c r="E82" s="1" t="s">
        <v>2416</v>
      </c>
      <c r="F82" s="1" t="s">
        <v>2428</v>
      </c>
      <c r="G82" s="1" t="s">
        <v>2440</v>
      </c>
      <c r="H82" s="1" t="s">
        <v>2446</v>
      </c>
      <c r="I82" s="1" t="s">
        <v>2457</v>
      </c>
      <c r="J82" s="1" t="s">
        <v>2465</v>
      </c>
      <c r="K82" s="1" t="s">
        <v>2475</v>
      </c>
      <c r="L82" s="1" t="s">
        <v>2488</v>
      </c>
      <c r="M82" s="1" t="s">
        <v>2500</v>
      </c>
      <c r="N82" s="1" t="s">
        <v>2510</v>
      </c>
      <c r="O82" s="1" t="s">
        <v>2522</v>
      </c>
      <c r="P82" s="1" t="s">
        <v>2634</v>
      </c>
      <c r="Q82" s="1" t="s">
        <v>2642</v>
      </c>
      <c r="AA82" s="18" t="s">
        <v>776</v>
      </c>
      <c r="AB82" s="18" t="s">
        <v>698</v>
      </c>
      <c r="AC82" s="18" t="s">
        <v>1270</v>
      </c>
      <c r="AD82" s="18" t="s">
        <v>1821</v>
      </c>
      <c r="AE82" s="18" t="s">
        <v>2140</v>
      </c>
      <c r="AP82" s="18"/>
      <c r="AQ82" s="18"/>
      <c r="AR82" s="18"/>
      <c r="AS82" s="18"/>
      <c r="AT82" s="18"/>
      <c r="AU82" s="18"/>
      <c r="BK82" s="18" t="s">
        <v>3741</v>
      </c>
      <c r="BL82" s="18">
        <v>5</v>
      </c>
    </row>
    <row r="83" spans="2:64">
      <c r="B83" s="1" t="s">
        <v>2367</v>
      </c>
      <c r="C83" s="1" t="s">
        <v>2387</v>
      </c>
      <c r="D83" s="1" t="s">
        <v>2407</v>
      </c>
      <c r="E83" s="1" t="s">
        <v>2417</v>
      </c>
      <c r="F83" s="1" t="s">
        <v>2429</v>
      </c>
      <c r="G83" s="1" t="s">
        <v>2441</v>
      </c>
      <c r="H83" s="1" t="s">
        <v>2447</v>
      </c>
      <c r="I83" s="1" t="s">
        <v>2458</v>
      </c>
      <c r="J83" s="1" t="s">
        <v>2466</v>
      </c>
      <c r="K83" s="1" t="s">
        <v>2476</v>
      </c>
      <c r="L83" s="1" t="s">
        <v>2489</v>
      </c>
      <c r="M83" s="1" t="s">
        <v>2501</v>
      </c>
      <c r="N83" s="1" t="s">
        <v>2511</v>
      </c>
      <c r="O83" s="1" t="s">
        <v>2523</v>
      </c>
      <c r="P83" s="1" t="s">
        <v>2635</v>
      </c>
      <c r="Q83" s="1" t="s">
        <v>2643</v>
      </c>
      <c r="AA83" s="18" t="s">
        <v>424</v>
      </c>
      <c r="AB83" s="18" t="s">
        <v>699</v>
      </c>
      <c r="AC83" s="18" t="s">
        <v>1271</v>
      </c>
      <c r="AD83" s="18" t="s">
        <v>1822</v>
      </c>
      <c r="AE83" s="18" t="s">
        <v>2142</v>
      </c>
      <c r="AP83" s="18"/>
      <c r="AQ83" s="18"/>
      <c r="AR83" s="18"/>
      <c r="AS83" s="18"/>
      <c r="AT83" s="18"/>
      <c r="AU83" s="18"/>
      <c r="BK83" s="18" t="s">
        <v>3748</v>
      </c>
      <c r="BL83" s="18">
        <v>5</v>
      </c>
    </row>
    <row r="84" spans="2:64">
      <c r="B84" s="1" t="s">
        <v>2368</v>
      </c>
      <c r="C84" s="1" t="s">
        <v>2388</v>
      </c>
      <c r="D84" s="1" t="s">
        <v>2408</v>
      </c>
      <c r="E84" s="1" t="s">
        <v>2418</v>
      </c>
      <c r="F84" s="1" t="s">
        <v>2430</v>
      </c>
      <c r="G84" s="1" t="s">
        <v>2442</v>
      </c>
      <c r="H84" s="1" t="s">
        <v>2448</v>
      </c>
      <c r="I84" s="1" t="s">
        <v>2459</v>
      </c>
      <c r="J84" s="1" t="s">
        <v>2467</v>
      </c>
      <c r="K84" s="1" t="s">
        <v>2477</v>
      </c>
      <c r="L84" s="1" t="s">
        <v>2490</v>
      </c>
      <c r="M84" s="1" t="s">
        <v>2502</v>
      </c>
      <c r="N84" s="1" t="s">
        <v>2512</v>
      </c>
      <c r="O84" s="1" t="s">
        <v>2524</v>
      </c>
      <c r="P84" s="1" t="s">
        <v>2636</v>
      </c>
      <c r="Q84" s="1" t="s">
        <v>2644</v>
      </c>
      <c r="AA84" s="18" t="s">
        <v>425</v>
      </c>
      <c r="AB84" s="18" t="s">
        <v>700</v>
      </c>
      <c r="AC84" s="18" t="s">
        <v>1272</v>
      </c>
      <c r="AD84" s="18" t="s">
        <v>1823</v>
      </c>
      <c r="AE84" s="18" t="s">
        <v>2141</v>
      </c>
      <c r="AP84" s="18"/>
      <c r="AQ84" s="18"/>
      <c r="AR84" s="18"/>
      <c r="AS84" s="18"/>
      <c r="AT84" s="18"/>
      <c r="AU84" s="18"/>
      <c r="BK84" s="18" t="s">
        <v>3746</v>
      </c>
      <c r="BL84" s="18">
        <v>5</v>
      </c>
    </row>
    <row r="85" spans="2:64">
      <c r="B85" s="1" t="s">
        <v>2369</v>
      </c>
      <c r="C85" s="1" t="s">
        <v>2389</v>
      </c>
      <c r="D85" s="1" t="s">
        <v>2409</v>
      </c>
      <c r="E85" s="1" t="s">
        <v>2419</v>
      </c>
      <c r="F85" s="1" t="s">
        <v>2431</v>
      </c>
      <c r="G85" s="1" t="s">
        <v>2443</v>
      </c>
      <c r="H85" s="1" t="s">
        <v>2449</v>
      </c>
      <c r="I85" s="1" t="s">
        <v>2460</v>
      </c>
      <c r="J85" s="1" t="s">
        <v>2468</v>
      </c>
      <c r="K85" s="1" t="s">
        <v>2478</v>
      </c>
      <c r="L85" s="1" t="s">
        <v>2491</v>
      </c>
      <c r="M85" s="1" t="s">
        <v>2503</v>
      </c>
      <c r="N85" s="1" t="s">
        <v>2513</v>
      </c>
      <c r="O85" s="1" t="s">
        <v>2525</v>
      </c>
      <c r="P85" s="1" t="s">
        <v>2637</v>
      </c>
      <c r="Q85" s="1" t="s">
        <v>2645</v>
      </c>
      <c r="AA85" s="18" t="s">
        <v>426</v>
      </c>
      <c r="AB85" s="18" t="s">
        <v>731</v>
      </c>
      <c r="AC85" s="18" t="s">
        <v>1274</v>
      </c>
      <c r="AD85" s="18" t="s">
        <v>1824</v>
      </c>
      <c r="AE85" s="18" t="s">
        <v>2143</v>
      </c>
      <c r="AP85" s="18"/>
      <c r="AQ85" s="18"/>
      <c r="AR85" s="18"/>
      <c r="AS85" s="18"/>
      <c r="AT85" s="18"/>
      <c r="AU85" s="18"/>
      <c r="BK85" s="18" t="s">
        <v>3744</v>
      </c>
      <c r="BL85" s="18">
        <v>5</v>
      </c>
    </row>
    <row r="86" spans="2:64">
      <c r="B86" s="1" t="s">
        <v>2370</v>
      </c>
      <c r="C86" s="1" t="s">
        <v>2390</v>
      </c>
      <c r="D86" s="1" t="s">
        <v>2410</v>
      </c>
      <c r="E86" s="1" t="s">
        <v>2420</v>
      </c>
      <c r="F86" s="1" t="s">
        <v>2432</v>
      </c>
      <c r="G86" s="1" t="s">
        <v>2444</v>
      </c>
      <c r="H86" s="1" t="s">
        <v>2450</v>
      </c>
      <c r="I86" s="1" t="s">
        <v>2461</v>
      </c>
      <c r="J86" s="1" t="s">
        <v>2469</v>
      </c>
      <c r="K86" s="1" t="s">
        <v>2479</v>
      </c>
      <c r="L86" s="1" t="s">
        <v>2492</v>
      </c>
      <c r="M86" s="1" t="s">
        <v>2504</v>
      </c>
      <c r="N86" s="1" t="s">
        <v>2514</v>
      </c>
      <c r="O86" s="1" t="s">
        <v>2526</v>
      </c>
      <c r="P86" s="1" t="s">
        <v>2638</v>
      </c>
      <c r="Q86" s="1" t="s">
        <v>2646</v>
      </c>
      <c r="AA86" s="18" t="s">
        <v>427</v>
      </c>
      <c r="AB86" s="18" t="s">
        <v>732</v>
      </c>
      <c r="AC86" s="18" t="s">
        <v>1273</v>
      </c>
      <c r="AD86" s="18" t="s">
        <v>1825</v>
      </c>
      <c r="AE86" s="18" t="s">
        <v>2144</v>
      </c>
      <c r="AP86" s="18"/>
      <c r="AQ86" s="18"/>
      <c r="AR86" s="18"/>
      <c r="AS86" s="18"/>
      <c r="AT86" s="18"/>
      <c r="AU86" s="18"/>
      <c r="BK86" s="18" t="s">
        <v>3742</v>
      </c>
      <c r="BL86" s="18">
        <v>5</v>
      </c>
    </row>
    <row r="87" spans="2:64">
      <c r="B87" s="1" t="s">
        <v>2371</v>
      </c>
      <c r="C87" s="1" t="s">
        <v>2391</v>
      </c>
      <c r="D87" s="1" t="s">
        <v>2411</v>
      </c>
      <c r="E87" s="1" t="s">
        <v>2421</v>
      </c>
      <c r="F87" s="1" t="s">
        <v>2433</v>
      </c>
      <c r="G87" s="1" t="s">
        <v>2455</v>
      </c>
      <c r="H87" s="1" t="s">
        <v>2451</v>
      </c>
      <c r="I87" s="1" t="s">
        <v>2462</v>
      </c>
      <c r="K87" s="1" t="s">
        <v>2480</v>
      </c>
      <c r="L87" s="1" t="s">
        <v>2493</v>
      </c>
      <c r="M87" s="1" t="s">
        <v>2505</v>
      </c>
      <c r="N87" s="1" t="s">
        <v>2515</v>
      </c>
      <c r="O87" s="1" t="s">
        <v>2527</v>
      </c>
      <c r="P87" s="1" t="s">
        <v>2639</v>
      </c>
      <c r="Q87" s="1" t="s">
        <v>2647</v>
      </c>
      <c r="AA87" s="18" t="s">
        <v>428</v>
      </c>
      <c r="AB87" s="18" t="s">
        <v>701</v>
      </c>
      <c r="AC87" s="18" t="s">
        <v>1275</v>
      </c>
      <c r="AD87" s="18" t="s">
        <v>1826</v>
      </c>
      <c r="AE87" s="18" t="s">
        <v>2145</v>
      </c>
      <c r="AP87" s="18"/>
      <c r="AQ87" s="18"/>
      <c r="AR87" s="18"/>
      <c r="AS87" s="18"/>
      <c r="AT87" s="18"/>
      <c r="AU87" s="18"/>
      <c r="BK87" s="18" t="s">
        <v>3747</v>
      </c>
      <c r="BL87" s="18">
        <v>5</v>
      </c>
    </row>
    <row r="88" spans="2:64">
      <c r="B88" s="1" t="s">
        <v>2372</v>
      </c>
      <c r="C88" s="1" t="s">
        <v>2392</v>
      </c>
      <c r="D88" s="1" t="s">
        <v>2412</v>
      </c>
      <c r="E88" s="1" t="s">
        <v>2422</v>
      </c>
      <c r="F88" s="1" t="s">
        <v>2434</v>
      </c>
      <c r="G88" s="1" t="s">
        <v>2464</v>
      </c>
      <c r="H88" s="1" t="s">
        <v>2452</v>
      </c>
      <c r="I88" s="1" t="s">
        <v>2463</v>
      </c>
      <c r="K88" s="1" t="s">
        <v>2481</v>
      </c>
      <c r="L88" s="1" t="s">
        <v>2494</v>
      </c>
      <c r="M88" s="1" t="s">
        <v>2506</v>
      </c>
      <c r="N88" s="1" t="s">
        <v>2516</v>
      </c>
      <c r="O88" s="1" t="s">
        <v>2528</v>
      </c>
      <c r="P88" s="1" t="s">
        <v>2640</v>
      </c>
      <c r="Q88" s="1" t="s">
        <v>2648</v>
      </c>
      <c r="AA88" s="18" t="s">
        <v>429</v>
      </c>
      <c r="AB88" s="18" t="s">
        <v>499</v>
      </c>
      <c r="AC88" s="18" t="s">
        <v>1276</v>
      </c>
      <c r="AD88" s="18" t="s">
        <v>1309</v>
      </c>
      <c r="AE88" s="18" t="s">
        <v>2146</v>
      </c>
      <c r="AP88" s="18"/>
      <c r="AQ88" s="18"/>
      <c r="AR88" s="18"/>
      <c r="AS88" s="18"/>
      <c r="AT88" s="18"/>
      <c r="AU88" s="18"/>
      <c r="BK88" s="18" t="s">
        <v>3743</v>
      </c>
      <c r="BL88" s="18">
        <v>5</v>
      </c>
    </row>
    <row r="89" spans="2:64">
      <c r="B89" s="1" t="s">
        <v>2373</v>
      </c>
      <c r="C89" s="1" t="s">
        <v>2393</v>
      </c>
      <c r="D89" s="1" t="s">
        <v>2413</v>
      </c>
      <c r="E89" s="1" t="s">
        <v>2423</v>
      </c>
      <c r="F89" s="1" t="s">
        <v>2435</v>
      </c>
      <c r="G89" s="1" t="s">
        <v>2470</v>
      </c>
      <c r="H89" s="1" t="s">
        <v>2453</v>
      </c>
      <c r="K89" s="1" t="s">
        <v>2482</v>
      </c>
      <c r="L89" s="1" t="s">
        <v>2495</v>
      </c>
      <c r="M89" s="1" t="s">
        <v>2507</v>
      </c>
      <c r="N89" s="1" t="s">
        <v>2517</v>
      </c>
      <c r="O89" s="1" t="s">
        <v>2529</v>
      </c>
      <c r="AA89" s="18" t="s">
        <v>430</v>
      </c>
      <c r="AB89" s="18" t="s">
        <v>766</v>
      </c>
      <c r="AC89" s="18" t="s">
        <v>1277</v>
      </c>
      <c r="AD89" s="18" t="s">
        <v>1827</v>
      </c>
      <c r="AE89" s="18" t="s">
        <v>2147</v>
      </c>
      <c r="AP89" s="18"/>
      <c r="AQ89" s="18"/>
      <c r="AR89" s="18"/>
      <c r="AS89" s="18"/>
      <c r="AT89" s="18"/>
      <c r="AU89" s="18"/>
      <c r="BK89" s="18" t="s">
        <v>3745</v>
      </c>
      <c r="BL89" s="18">
        <v>5</v>
      </c>
    </row>
    <row r="90" spans="2:64">
      <c r="B90" s="1" t="s">
        <v>2374</v>
      </c>
      <c r="C90" s="1" t="s">
        <v>2394</v>
      </c>
      <c r="D90" s="1" t="s">
        <v>2414</v>
      </c>
      <c r="E90" s="1" t="s">
        <v>2424</v>
      </c>
      <c r="F90" s="1" t="s">
        <v>2436</v>
      </c>
      <c r="G90" s="1" t="s">
        <v>2471</v>
      </c>
      <c r="H90" s="1" t="s">
        <v>2454</v>
      </c>
      <c r="K90" s="1" t="s">
        <v>2483</v>
      </c>
      <c r="L90" s="1" t="s">
        <v>2496</v>
      </c>
      <c r="M90" s="1" t="s">
        <v>2508</v>
      </c>
      <c r="N90" s="1" t="s">
        <v>2518</v>
      </c>
      <c r="O90" s="1" t="s">
        <v>2530</v>
      </c>
      <c r="AA90" s="18" t="s">
        <v>619</v>
      </c>
      <c r="AB90" s="18" t="s">
        <v>702</v>
      </c>
      <c r="AC90" s="18" t="s">
        <v>1278</v>
      </c>
      <c r="AD90" s="18" t="s">
        <v>1828</v>
      </c>
      <c r="AE90" s="18" t="s">
        <v>2148</v>
      </c>
      <c r="AP90" s="18"/>
      <c r="AQ90" s="18"/>
      <c r="AR90" s="18"/>
      <c r="AS90" s="18"/>
      <c r="AT90" s="18"/>
      <c r="AU90" s="18"/>
      <c r="BK90" s="18" t="s">
        <v>3021</v>
      </c>
      <c r="BL90" s="18">
        <v>12</v>
      </c>
    </row>
    <row r="91" spans="2:64">
      <c r="B91" s="1" t="s">
        <v>2375</v>
      </c>
      <c r="C91" s="1" t="s">
        <v>2395</v>
      </c>
      <c r="E91" s="1" t="s">
        <v>2425</v>
      </c>
      <c r="F91" s="1" t="s">
        <v>2437</v>
      </c>
      <c r="G91" s="1" t="s">
        <v>2472</v>
      </c>
      <c r="K91" s="1" t="s">
        <v>2484</v>
      </c>
      <c r="L91" s="1" t="s">
        <v>2497</v>
      </c>
      <c r="N91" s="1" t="s">
        <v>2519</v>
      </c>
      <c r="O91" s="1" t="s">
        <v>2531</v>
      </c>
      <c r="AA91" s="18" t="s">
        <v>431</v>
      </c>
      <c r="AB91" s="18" t="s">
        <v>767</v>
      </c>
      <c r="AC91" s="18" t="s">
        <v>1279</v>
      </c>
      <c r="AD91" s="18" t="s">
        <v>1829</v>
      </c>
      <c r="AE91" s="18" t="s">
        <v>2149</v>
      </c>
      <c r="AP91" s="18"/>
      <c r="AQ91" s="18"/>
      <c r="AR91" s="18"/>
      <c r="AS91" s="18"/>
      <c r="AT91" s="18"/>
      <c r="AU91" s="18"/>
      <c r="BK91" s="18" t="s">
        <v>3022</v>
      </c>
      <c r="BL91" s="18">
        <v>12</v>
      </c>
    </row>
    <row r="92" spans="2:64">
      <c r="B92" s="1" t="s">
        <v>2376</v>
      </c>
      <c r="C92" s="1" t="s">
        <v>2396</v>
      </c>
      <c r="E92" s="1" t="s">
        <v>2426</v>
      </c>
      <c r="F92" s="1" t="s">
        <v>2438</v>
      </c>
      <c r="G92" s="1" t="s">
        <v>2473</v>
      </c>
      <c r="K92" s="1" t="s">
        <v>2485</v>
      </c>
      <c r="L92" s="1" t="s">
        <v>2498</v>
      </c>
      <c r="N92" s="1" t="s">
        <v>2520</v>
      </c>
      <c r="O92" s="1" t="s">
        <v>2532</v>
      </c>
      <c r="AA92" s="18" t="s">
        <v>432</v>
      </c>
      <c r="AB92" s="18" t="s">
        <v>703</v>
      </c>
      <c r="AC92" s="18" t="s">
        <v>1280</v>
      </c>
      <c r="AD92" s="18" t="s">
        <v>1830</v>
      </c>
      <c r="AE92" s="18" t="s">
        <v>2150</v>
      </c>
      <c r="AP92" s="18"/>
      <c r="AQ92" s="18"/>
      <c r="AR92" s="18"/>
      <c r="AS92" s="18"/>
      <c r="AT92" s="18"/>
      <c r="AU92" s="18"/>
      <c r="BK92" s="18" t="s">
        <v>3023</v>
      </c>
      <c r="BL92" s="18">
        <v>12</v>
      </c>
    </row>
    <row r="93" spans="2:64">
      <c r="B93" s="1" t="s">
        <v>2377</v>
      </c>
      <c r="C93" s="1" t="s">
        <v>2397</v>
      </c>
      <c r="K93" s="1" t="s">
        <v>2486</v>
      </c>
      <c r="O93" s="1" t="s">
        <v>2537</v>
      </c>
      <c r="AA93" s="18" t="s">
        <v>433</v>
      </c>
      <c r="AB93" s="18" t="s">
        <v>768</v>
      </c>
      <c r="AC93" s="18" t="s">
        <v>1281</v>
      </c>
      <c r="AD93" s="18" t="s">
        <v>1831</v>
      </c>
      <c r="AE93" s="18" t="s">
        <v>2151</v>
      </c>
      <c r="AP93" s="18"/>
      <c r="AQ93" s="18"/>
      <c r="AR93" s="18"/>
      <c r="AS93" s="18"/>
      <c r="AT93" s="18"/>
      <c r="AU93" s="18"/>
      <c r="BK93" s="18" t="s">
        <v>4013</v>
      </c>
      <c r="BL93" s="18">
        <v>12</v>
      </c>
    </row>
    <row r="94" spans="2:64">
      <c r="B94" s="1" t="s">
        <v>2378</v>
      </c>
      <c r="C94" s="1" t="s">
        <v>2398</v>
      </c>
      <c r="O94" s="1" t="s">
        <v>2533</v>
      </c>
      <c r="AA94" s="18" t="s">
        <v>434</v>
      </c>
      <c r="AB94" s="18" t="s">
        <v>704</v>
      </c>
      <c r="AC94" s="18" t="s">
        <v>1282</v>
      </c>
      <c r="AD94" s="18" t="s">
        <v>1832</v>
      </c>
      <c r="AE94" s="18" t="s">
        <v>2152</v>
      </c>
      <c r="AP94" s="18"/>
      <c r="AQ94" s="18"/>
      <c r="AR94" s="18"/>
      <c r="AS94" s="18"/>
      <c r="AT94" s="18"/>
      <c r="AU94" s="18"/>
      <c r="BK94" s="18" t="s">
        <v>3704</v>
      </c>
      <c r="BL94" s="18">
        <v>11</v>
      </c>
    </row>
    <row r="95" spans="2:64">
      <c r="B95" s="1" t="s">
        <v>2379</v>
      </c>
      <c r="C95" s="1" t="s">
        <v>2399</v>
      </c>
      <c r="O95" s="1" t="s">
        <v>2534</v>
      </c>
      <c r="AA95" s="18" t="s">
        <v>435</v>
      </c>
      <c r="AB95" s="18" t="s">
        <v>705</v>
      </c>
      <c r="AC95" s="18" t="s">
        <v>1283</v>
      </c>
      <c r="AD95" s="18" t="s">
        <v>1833</v>
      </c>
      <c r="AE95" s="18" t="s">
        <v>2153</v>
      </c>
      <c r="AP95" s="18"/>
      <c r="AQ95" s="18"/>
      <c r="AR95" s="18"/>
      <c r="AS95" s="18"/>
      <c r="AT95" s="18"/>
      <c r="AU95" s="18"/>
      <c r="BK95" s="18" t="s">
        <v>3697</v>
      </c>
      <c r="BL95" s="18">
        <v>11</v>
      </c>
    </row>
    <row r="96" spans="2:64">
      <c r="B96" s="1" t="s">
        <v>2380</v>
      </c>
      <c r="C96" s="1" t="s">
        <v>2400</v>
      </c>
      <c r="O96" s="1" t="s">
        <v>2535</v>
      </c>
      <c r="AA96" s="18" t="s">
        <v>436</v>
      </c>
      <c r="AB96" s="18" t="s">
        <v>706</v>
      </c>
      <c r="AC96" s="18" t="s">
        <v>1284</v>
      </c>
      <c r="AD96" s="18" t="s">
        <v>1834</v>
      </c>
      <c r="AE96" s="18" t="s">
        <v>2154</v>
      </c>
      <c r="AP96" s="18"/>
      <c r="AQ96" s="18"/>
      <c r="AR96" s="18"/>
      <c r="AS96" s="18"/>
      <c r="AT96" s="18"/>
      <c r="AU96" s="18"/>
      <c r="BK96" s="18" t="s">
        <v>3749</v>
      </c>
      <c r="BL96" s="18">
        <v>11</v>
      </c>
    </row>
    <row r="97" spans="2:64">
      <c r="B97" s="1" t="s">
        <v>2381</v>
      </c>
      <c r="C97" s="1" t="s">
        <v>2401</v>
      </c>
      <c r="O97" s="1" t="s">
        <v>2536</v>
      </c>
      <c r="AA97" s="18" t="s">
        <v>437</v>
      </c>
      <c r="AB97" s="18" t="s">
        <v>707</v>
      </c>
      <c r="AC97" s="18" t="s">
        <v>1285</v>
      </c>
      <c r="AD97" s="18" t="s">
        <v>1835</v>
      </c>
      <c r="AE97" s="18" t="s">
        <v>2155</v>
      </c>
      <c r="AP97" s="18"/>
      <c r="AQ97" s="18"/>
      <c r="AR97" s="18"/>
      <c r="AS97" s="18"/>
      <c r="AT97" s="18"/>
      <c r="AU97" s="18"/>
      <c r="BK97" s="18" t="s">
        <v>3755</v>
      </c>
      <c r="BL97" s="18">
        <v>11</v>
      </c>
    </row>
    <row r="98" spans="2:64">
      <c r="B98" s="1" t="s">
        <v>2382</v>
      </c>
      <c r="C98" s="1" t="s">
        <v>2402</v>
      </c>
      <c r="O98" s="1" t="s">
        <v>2538</v>
      </c>
      <c r="AA98" s="18" t="s">
        <v>438</v>
      </c>
      <c r="AB98" s="18" t="s">
        <v>708</v>
      </c>
      <c r="AC98" s="18" t="s">
        <v>1286</v>
      </c>
      <c r="AD98" s="18" t="s">
        <v>1836</v>
      </c>
      <c r="AE98" s="18" t="s">
        <v>2156</v>
      </c>
      <c r="AP98" s="18"/>
      <c r="AQ98" s="18"/>
      <c r="AR98" s="18"/>
      <c r="AS98" s="18"/>
      <c r="AT98" s="18"/>
      <c r="AU98" s="18"/>
      <c r="BK98" s="18" t="s">
        <v>3753</v>
      </c>
      <c r="BL98" s="18">
        <v>11</v>
      </c>
    </row>
    <row r="99" spans="2:64">
      <c r="B99" s="1" t="s">
        <v>2383</v>
      </c>
      <c r="C99" s="1" t="s">
        <v>2403</v>
      </c>
      <c r="O99" s="1" t="s">
        <v>2539</v>
      </c>
      <c r="AA99" s="18" t="s">
        <v>439</v>
      </c>
      <c r="AB99" s="18" t="s">
        <v>709</v>
      </c>
      <c r="AC99" s="18" t="s">
        <v>1287</v>
      </c>
      <c r="AD99" s="18" t="s">
        <v>1837</v>
      </c>
      <c r="AE99" s="18" t="s">
        <v>2157</v>
      </c>
      <c r="AP99" s="18"/>
      <c r="AQ99" s="18"/>
      <c r="AR99" s="18"/>
      <c r="AS99" s="18"/>
      <c r="AT99" s="18"/>
      <c r="AU99" s="18"/>
      <c r="BK99" s="18" t="s">
        <v>3751</v>
      </c>
      <c r="BL99" s="18">
        <v>11</v>
      </c>
    </row>
    <row r="100" spans="2:64">
      <c r="B100" s="1" t="s">
        <v>2384</v>
      </c>
      <c r="C100" s="1" t="s">
        <v>2404</v>
      </c>
      <c r="O100" s="1" t="s">
        <v>2540</v>
      </c>
      <c r="AA100" s="18" t="s">
        <v>620</v>
      </c>
      <c r="AB100" s="18" t="s">
        <v>769</v>
      </c>
      <c r="AC100" s="18" t="s">
        <v>1288</v>
      </c>
      <c r="AD100" s="18" t="s">
        <v>1838</v>
      </c>
      <c r="AE100" s="18" t="s">
        <v>2158</v>
      </c>
      <c r="AP100" s="18"/>
      <c r="AQ100" s="18"/>
      <c r="AR100" s="18"/>
      <c r="AS100" s="18"/>
      <c r="AT100" s="18"/>
      <c r="AU100" s="18"/>
      <c r="BK100" s="18" t="s">
        <v>3754</v>
      </c>
      <c r="BL100" s="18">
        <v>11</v>
      </c>
    </row>
    <row r="101" spans="2:64">
      <c r="O101" s="1" t="s">
        <v>2541</v>
      </c>
      <c r="AA101" s="18" t="s">
        <v>440</v>
      </c>
      <c r="AB101" s="18" t="s">
        <v>710</v>
      </c>
      <c r="AC101" s="18" t="s">
        <v>1289</v>
      </c>
      <c r="AD101" s="18" t="s">
        <v>1839</v>
      </c>
      <c r="AE101" s="18" t="s">
        <v>2159</v>
      </c>
      <c r="AP101" s="18"/>
      <c r="AQ101" s="18"/>
      <c r="AR101" s="18"/>
      <c r="AS101" s="18"/>
      <c r="AT101" s="18"/>
      <c r="AU101" s="18"/>
      <c r="BK101" s="18" t="s">
        <v>3750</v>
      </c>
      <c r="BL101" s="18">
        <v>11</v>
      </c>
    </row>
    <row r="102" spans="2:64">
      <c r="O102" s="1" t="s">
        <v>2542</v>
      </c>
      <c r="AA102" s="18" t="s">
        <v>441</v>
      </c>
      <c r="AB102" s="18" t="s">
        <v>711</v>
      </c>
      <c r="AC102" s="18" t="s">
        <v>1290</v>
      </c>
      <c r="AD102" s="18" t="s">
        <v>1840</v>
      </c>
      <c r="AE102" s="18" t="s">
        <v>2160</v>
      </c>
      <c r="AP102" s="18"/>
      <c r="AQ102" s="18"/>
      <c r="AR102" s="18"/>
      <c r="AS102" s="18"/>
      <c r="AT102" s="18"/>
      <c r="AU102" s="18"/>
      <c r="BK102" s="18" t="s">
        <v>3752</v>
      </c>
      <c r="BL102" s="18">
        <v>11</v>
      </c>
    </row>
    <row r="103" spans="2:64">
      <c r="O103" s="1" t="s">
        <v>2650</v>
      </c>
      <c r="AA103" s="18" t="s">
        <v>442</v>
      </c>
      <c r="AB103" s="18" t="s">
        <v>733</v>
      </c>
      <c r="AC103" s="18" t="s">
        <v>1291</v>
      </c>
      <c r="AD103" s="18" t="s">
        <v>1841</v>
      </c>
      <c r="AE103" s="18" t="s">
        <v>2161</v>
      </c>
      <c r="AP103" s="18"/>
      <c r="AQ103" s="18"/>
      <c r="AR103" s="18"/>
      <c r="AS103" s="18"/>
      <c r="AT103" s="18"/>
      <c r="AU103" s="18"/>
      <c r="BK103" s="18" t="s">
        <v>3915</v>
      </c>
      <c r="BL103" s="18">
        <v>10</v>
      </c>
    </row>
    <row r="104" spans="2:64">
      <c r="O104" s="1" t="s">
        <v>2651</v>
      </c>
      <c r="AA104" s="18" t="s">
        <v>443</v>
      </c>
      <c r="AB104" s="18" t="s">
        <v>712</v>
      </c>
      <c r="AC104" s="18" t="s">
        <v>1292</v>
      </c>
      <c r="AD104" s="18" t="s">
        <v>1842</v>
      </c>
      <c r="AE104" s="18" t="s">
        <v>2162</v>
      </c>
      <c r="AP104" s="18"/>
      <c r="AQ104" s="18"/>
      <c r="AR104" s="18"/>
      <c r="AS104" s="18"/>
      <c r="AT104" s="18"/>
      <c r="AU104" s="18"/>
      <c r="BK104" s="18" t="s">
        <v>3909</v>
      </c>
      <c r="BL104" s="18">
        <v>10</v>
      </c>
    </row>
    <row r="105" spans="2:64">
      <c r="O105" s="1" t="s">
        <v>2543</v>
      </c>
      <c r="AA105" s="18" t="s">
        <v>621</v>
      </c>
      <c r="AB105" s="18" t="s">
        <v>713</v>
      </c>
      <c r="AC105" s="18" t="s">
        <v>1293</v>
      </c>
      <c r="AD105" s="18" t="s">
        <v>1843</v>
      </c>
      <c r="AE105" s="18" t="s">
        <v>2163</v>
      </c>
      <c r="AP105" s="18"/>
      <c r="AQ105" s="18"/>
      <c r="AR105" s="18"/>
      <c r="AS105" s="18"/>
      <c r="AT105" s="18"/>
      <c r="AU105" s="18"/>
      <c r="BK105" s="18" t="s">
        <v>3908</v>
      </c>
      <c r="BL105" s="18">
        <v>10</v>
      </c>
    </row>
    <row r="106" spans="2:64">
      <c r="O106" s="1" t="s">
        <v>2544</v>
      </c>
      <c r="AA106" s="18" t="s">
        <v>444</v>
      </c>
      <c r="AB106" s="18" t="s">
        <v>770</v>
      </c>
      <c r="AC106" s="18" t="s">
        <v>1294</v>
      </c>
      <c r="AD106" s="18" t="s">
        <v>1844</v>
      </c>
      <c r="AE106" s="18" t="s">
        <v>2164</v>
      </c>
      <c r="AP106" s="18"/>
      <c r="AQ106" s="18"/>
      <c r="AR106" s="18"/>
      <c r="AS106" s="18"/>
      <c r="AT106" s="18"/>
      <c r="AU106" s="18"/>
      <c r="BK106" s="18" t="s">
        <v>3944</v>
      </c>
      <c r="BL106" s="18">
        <v>7</v>
      </c>
    </row>
    <row r="107" spans="2:64">
      <c r="O107" s="1" t="s">
        <v>2545</v>
      </c>
      <c r="AA107" s="18" t="s">
        <v>445</v>
      </c>
      <c r="AB107" s="18" t="s">
        <v>714</v>
      </c>
      <c r="AC107" s="18" t="s">
        <v>1295</v>
      </c>
      <c r="AD107" s="18" t="s">
        <v>1845</v>
      </c>
      <c r="AE107" s="18" t="s">
        <v>2165</v>
      </c>
      <c r="AP107" s="18"/>
      <c r="AQ107" s="18"/>
      <c r="AR107" s="18"/>
      <c r="AS107" s="18"/>
      <c r="AT107" s="18"/>
      <c r="AU107" s="18"/>
      <c r="BK107" s="18" t="s">
        <v>3949</v>
      </c>
      <c r="BL107" s="18">
        <v>7</v>
      </c>
    </row>
    <row r="108" spans="2:64">
      <c r="O108" s="1" t="s">
        <v>2546</v>
      </c>
      <c r="AA108" s="18" t="s">
        <v>446</v>
      </c>
      <c r="AB108" s="18" t="s">
        <v>734</v>
      </c>
      <c r="AC108" s="18" t="s">
        <v>1296</v>
      </c>
      <c r="AD108" s="18" t="s">
        <v>1846</v>
      </c>
      <c r="AE108" s="18" t="s">
        <v>2168</v>
      </c>
      <c r="AP108" s="18"/>
      <c r="AQ108" s="18"/>
      <c r="AR108" s="18"/>
      <c r="AS108" s="18"/>
      <c r="AT108" s="18"/>
      <c r="AU108" s="18"/>
      <c r="BK108" s="18" t="s">
        <v>3948</v>
      </c>
      <c r="BL108" s="18">
        <v>7</v>
      </c>
    </row>
    <row r="109" spans="2:64">
      <c r="O109" s="1" t="s">
        <v>2547</v>
      </c>
      <c r="AA109" s="18" t="s">
        <v>643</v>
      </c>
      <c r="AB109" s="18" t="s">
        <v>715</v>
      </c>
      <c r="AC109" s="18" t="s">
        <v>1297</v>
      </c>
      <c r="AD109" s="18" t="s">
        <v>1847</v>
      </c>
      <c r="AE109" s="18" t="s">
        <v>2166</v>
      </c>
      <c r="AP109" s="18"/>
      <c r="AQ109" s="18"/>
      <c r="AR109" s="18"/>
      <c r="AS109" s="18"/>
      <c r="AT109" s="18"/>
      <c r="AU109" s="18"/>
      <c r="BK109" s="18" t="s">
        <v>3929</v>
      </c>
      <c r="BL109" s="18">
        <v>7</v>
      </c>
    </row>
    <row r="110" spans="2:64">
      <c r="O110" s="1" t="s">
        <v>2548</v>
      </c>
      <c r="AA110" s="18" t="s">
        <v>447</v>
      </c>
      <c r="AB110" s="18" t="s">
        <v>716</v>
      </c>
      <c r="AC110" s="18" t="s">
        <v>1298</v>
      </c>
      <c r="AD110" s="18" t="s">
        <v>1848</v>
      </c>
      <c r="AE110" s="18" t="s">
        <v>2169</v>
      </c>
      <c r="AP110" s="18"/>
      <c r="AQ110" s="18"/>
      <c r="AR110" s="18"/>
      <c r="AS110" s="18"/>
      <c r="AT110" s="18"/>
      <c r="AU110" s="18"/>
      <c r="BK110" s="18" t="s">
        <v>3931</v>
      </c>
      <c r="BL110" s="18">
        <v>7</v>
      </c>
    </row>
    <row r="111" spans="2:64">
      <c r="O111" s="1" t="s">
        <v>2549</v>
      </c>
      <c r="AA111" s="18" t="s">
        <v>622</v>
      </c>
      <c r="AB111" s="18" t="s">
        <v>717</v>
      </c>
      <c r="AC111" s="18" t="s">
        <v>1299</v>
      </c>
      <c r="AD111" s="18" t="s">
        <v>1849</v>
      </c>
      <c r="AE111" s="18" t="s">
        <v>2167</v>
      </c>
      <c r="AP111" s="18"/>
      <c r="AQ111" s="18"/>
      <c r="AR111" s="18"/>
      <c r="AS111" s="18"/>
      <c r="AT111" s="18"/>
      <c r="AU111" s="18"/>
      <c r="BK111" s="18" t="s">
        <v>3932</v>
      </c>
      <c r="BL111" s="18">
        <v>7</v>
      </c>
    </row>
    <row r="112" spans="2:64">
      <c r="O112" s="1" t="s">
        <v>2550</v>
      </c>
      <c r="AA112" s="18" t="s">
        <v>448</v>
      </c>
      <c r="AB112" s="18" t="s">
        <v>771</v>
      </c>
      <c r="AC112" s="18" t="s">
        <v>1300</v>
      </c>
      <c r="AD112" s="18" t="s">
        <v>1850</v>
      </c>
      <c r="AE112" s="18" t="s">
        <v>2170</v>
      </c>
      <c r="AP112" s="18"/>
      <c r="AQ112" s="18"/>
      <c r="AR112" s="18"/>
      <c r="AS112" s="18"/>
      <c r="AT112" s="18"/>
      <c r="AU112" s="18"/>
      <c r="BK112" s="18" t="s">
        <v>3933</v>
      </c>
      <c r="BL112" s="18">
        <v>7</v>
      </c>
    </row>
    <row r="113" spans="15:64">
      <c r="O113" s="1" t="s">
        <v>2551</v>
      </c>
      <c r="AA113" s="18" t="s">
        <v>449</v>
      </c>
      <c r="AB113" s="18" t="s">
        <v>565</v>
      </c>
      <c r="AC113" s="18" t="s">
        <v>1301</v>
      </c>
      <c r="AD113" s="18" t="s">
        <v>1851</v>
      </c>
      <c r="AE113" s="18" t="s">
        <v>2171</v>
      </c>
      <c r="AP113" s="18"/>
      <c r="AQ113" s="18"/>
      <c r="AR113" s="18"/>
      <c r="AS113" s="18"/>
      <c r="AT113" s="18"/>
      <c r="AU113" s="18"/>
      <c r="BK113" s="18" t="s">
        <v>3937</v>
      </c>
      <c r="BL113" s="18">
        <v>7</v>
      </c>
    </row>
    <row r="114" spans="15:64">
      <c r="O114" s="1" t="s">
        <v>2552</v>
      </c>
      <c r="AA114" s="18" t="s">
        <v>450</v>
      </c>
      <c r="AB114" s="18" t="s">
        <v>772</v>
      </c>
      <c r="AC114" s="18" t="s">
        <v>1302</v>
      </c>
      <c r="AD114" s="18" t="s">
        <v>1852</v>
      </c>
      <c r="AE114" s="18" t="s">
        <v>2172</v>
      </c>
      <c r="AP114" s="18"/>
      <c r="AQ114" s="18"/>
      <c r="AR114" s="18"/>
      <c r="AS114" s="18"/>
      <c r="AT114" s="18"/>
      <c r="AU114" s="18"/>
      <c r="BK114" s="18" t="s">
        <v>3938</v>
      </c>
      <c r="BL114" s="18">
        <v>7</v>
      </c>
    </row>
    <row r="115" spans="15:64">
      <c r="O115" s="1" t="s">
        <v>2553</v>
      </c>
      <c r="AA115" s="18" t="s">
        <v>451</v>
      </c>
      <c r="AB115" s="18" t="s">
        <v>735</v>
      </c>
      <c r="AC115" s="18" t="s">
        <v>1303</v>
      </c>
      <c r="AD115" s="18" t="s">
        <v>1853</v>
      </c>
      <c r="AE115" s="18" t="s">
        <v>2173</v>
      </c>
      <c r="AP115" s="18"/>
      <c r="AQ115" s="18"/>
      <c r="AR115" s="18"/>
      <c r="AS115" s="18"/>
      <c r="AT115" s="18"/>
      <c r="AU115" s="18"/>
      <c r="BK115" s="18" t="s">
        <v>3939</v>
      </c>
      <c r="BL115" s="18">
        <v>7</v>
      </c>
    </row>
    <row r="116" spans="15:64">
      <c r="O116" s="1" t="s">
        <v>2554</v>
      </c>
      <c r="AA116" s="18" t="s">
        <v>452</v>
      </c>
      <c r="AB116" s="18" t="s">
        <v>773</v>
      </c>
      <c r="AC116" s="18" t="s">
        <v>1304</v>
      </c>
      <c r="AD116" s="18" t="s">
        <v>1854</v>
      </c>
      <c r="AE116" s="18" t="s">
        <v>2174</v>
      </c>
      <c r="AP116" s="18"/>
      <c r="AQ116" s="18"/>
      <c r="AR116" s="18"/>
      <c r="AS116" s="18"/>
      <c r="AT116" s="18"/>
      <c r="AU116" s="18"/>
      <c r="BK116" s="18" t="s">
        <v>3934</v>
      </c>
      <c r="BL116" s="18">
        <v>7</v>
      </c>
    </row>
    <row r="117" spans="15:64">
      <c r="O117" s="1" t="s">
        <v>2555</v>
      </c>
      <c r="AA117" s="18" t="s">
        <v>453</v>
      </c>
      <c r="AB117" s="18" t="s">
        <v>718</v>
      </c>
      <c r="AC117" s="18" t="s">
        <v>1305</v>
      </c>
      <c r="AD117" s="18" t="s">
        <v>1855</v>
      </c>
      <c r="AE117" s="18" t="s">
        <v>2175</v>
      </c>
      <c r="AP117" s="18"/>
      <c r="AQ117" s="18"/>
      <c r="AR117" s="18"/>
      <c r="AS117" s="18"/>
      <c r="AT117" s="18"/>
      <c r="AU117" s="18"/>
      <c r="BK117" s="18" t="s">
        <v>3926</v>
      </c>
      <c r="BL117" s="18">
        <v>7</v>
      </c>
    </row>
    <row r="118" spans="15:64">
      <c r="O118" s="1" t="s">
        <v>2556</v>
      </c>
      <c r="AA118" s="18" t="s">
        <v>644</v>
      </c>
      <c r="AB118" s="18" t="s">
        <v>774</v>
      </c>
      <c r="AC118" s="18" t="s">
        <v>1306</v>
      </c>
      <c r="AD118" s="18" t="s">
        <v>1856</v>
      </c>
      <c r="AE118" s="18" t="s">
        <v>2176</v>
      </c>
      <c r="AP118" s="18"/>
      <c r="AQ118" s="18"/>
      <c r="AR118" s="18"/>
      <c r="AS118" s="18"/>
      <c r="AT118" s="18"/>
      <c r="AU118" s="18"/>
      <c r="BK118" s="18" t="s">
        <v>3943</v>
      </c>
      <c r="BL118" s="18">
        <v>7</v>
      </c>
    </row>
    <row r="119" spans="15:64">
      <c r="O119" s="1" t="s">
        <v>2557</v>
      </c>
      <c r="AA119" s="18" t="s">
        <v>623</v>
      </c>
      <c r="AB119" s="18" t="s">
        <v>775</v>
      </c>
      <c r="AC119" s="18" t="s">
        <v>1307</v>
      </c>
      <c r="AD119" s="18" t="s">
        <v>1857</v>
      </c>
      <c r="AE119" s="18" t="s">
        <v>2177</v>
      </c>
      <c r="AP119" s="18"/>
      <c r="AQ119" s="18"/>
      <c r="AR119" s="18"/>
      <c r="AS119" s="18"/>
      <c r="AT119" s="18"/>
      <c r="AU119" s="18"/>
      <c r="BK119" s="18" t="s">
        <v>3942</v>
      </c>
      <c r="BL119" s="18">
        <v>7</v>
      </c>
    </row>
    <row r="120" spans="15:64">
      <c r="O120" s="1" t="s">
        <v>2558</v>
      </c>
      <c r="AA120" s="18" t="s">
        <v>454</v>
      </c>
      <c r="AB120" s="18" t="s">
        <v>719</v>
      </c>
      <c r="AC120" s="18" t="s">
        <v>1308</v>
      </c>
      <c r="AD120" s="18" t="s">
        <v>1858</v>
      </c>
      <c r="AE120" s="18" t="s">
        <v>2178</v>
      </c>
      <c r="AP120" s="18"/>
      <c r="AQ120" s="18"/>
      <c r="AR120" s="18"/>
      <c r="AS120" s="18"/>
      <c r="AT120" s="18"/>
      <c r="AU120" s="18"/>
      <c r="BK120" s="18" t="s">
        <v>3935</v>
      </c>
      <c r="BL120" s="18">
        <v>7</v>
      </c>
    </row>
    <row r="121" spans="15:64">
      <c r="O121" s="1" t="s">
        <v>2559</v>
      </c>
      <c r="AA121" s="18" t="s">
        <v>455</v>
      </c>
      <c r="AB121" s="18" t="s">
        <v>720</v>
      </c>
      <c r="AC121" s="18" t="s">
        <v>1309</v>
      </c>
      <c r="AD121" s="18" t="s">
        <v>1859</v>
      </c>
      <c r="AE121" s="18" t="s">
        <v>2178</v>
      </c>
      <c r="AP121" s="18"/>
      <c r="AQ121" s="18"/>
      <c r="AR121" s="18"/>
      <c r="AS121" s="18"/>
      <c r="AT121" s="18"/>
      <c r="AU121" s="18"/>
      <c r="BK121" s="18" t="s">
        <v>3940</v>
      </c>
      <c r="BL121" s="18">
        <v>7</v>
      </c>
    </row>
    <row r="122" spans="15:64">
      <c r="O122" s="1" t="s">
        <v>2560</v>
      </c>
      <c r="AA122" s="18" t="s">
        <v>456</v>
      </c>
      <c r="AB122" s="18" t="s">
        <v>721</v>
      </c>
      <c r="AC122" s="18" t="s">
        <v>1310</v>
      </c>
      <c r="AD122" s="18" t="s">
        <v>1860</v>
      </c>
      <c r="AE122" s="18" t="s">
        <v>2179</v>
      </c>
      <c r="AP122" s="18"/>
      <c r="AQ122" s="18"/>
      <c r="AR122" s="18"/>
      <c r="AS122" s="18"/>
      <c r="AT122" s="18"/>
      <c r="AU122" s="18"/>
      <c r="BK122" s="18" t="s">
        <v>3936</v>
      </c>
      <c r="BL122" s="18">
        <v>7</v>
      </c>
    </row>
    <row r="123" spans="15:64">
      <c r="O123" s="1" t="s">
        <v>2561</v>
      </c>
      <c r="AA123" s="18" t="s">
        <v>457</v>
      </c>
      <c r="AB123" s="18" t="s">
        <v>722</v>
      </c>
      <c r="AC123" s="18" t="s">
        <v>1311</v>
      </c>
      <c r="AD123" s="18" t="s">
        <v>1861</v>
      </c>
      <c r="AE123" s="18" t="s">
        <v>2180</v>
      </c>
      <c r="AP123" s="18"/>
      <c r="AQ123" s="18"/>
      <c r="AR123" s="18"/>
      <c r="AS123" s="18"/>
      <c r="AT123" s="18"/>
      <c r="AU123" s="18"/>
      <c r="BK123" s="18" t="s">
        <v>3945</v>
      </c>
      <c r="BL123" s="18">
        <v>7</v>
      </c>
    </row>
    <row r="124" spans="15:64">
      <c r="O124" s="1" t="s">
        <v>2562</v>
      </c>
      <c r="AA124" s="18" t="s">
        <v>458</v>
      </c>
      <c r="AB124" s="18"/>
      <c r="AC124" s="18" t="s">
        <v>1312</v>
      </c>
      <c r="AD124" s="18" t="s">
        <v>1861</v>
      </c>
      <c r="AE124" s="18" t="s">
        <v>2181</v>
      </c>
      <c r="AP124" s="18"/>
      <c r="AQ124" s="18"/>
      <c r="AR124" s="18"/>
      <c r="AS124" s="18"/>
      <c r="AT124" s="18"/>
      <c r="AU124" s="18"/>
      <c r="BK124" s="18" t="s">
        <v>3928</v>
      </c>
      <c r="BL124" s="18">
        <v>7</v>
      </c>
    </row>
    <row r="125" spans="15:64">
      <c r="O125" s="1" t="s">
        <v>2563</v>
      </c>
      <c r="AA125" s="18" t="s">
        <v>459</v>
      </c>
      <c r="AB125" s="18"/>
      <c r="AC125" s="18" t="s">
        <v>1313</v>
      </c>
      <c r="AD125" s="18" t="s">
        <v>1862</v>
      </c>
      <c r="AE125" s="18" t="s">
        <v>2182</v>
      </c>
      <c r="AP125" s="18"/>
      <c r="AQ125" s="18"/>
      <c r="AR125" s="18"/>
      <c r="AS125" s="18"/>
      <c r="AT125" s="18"/>
      <c r="AU125" s="18"/>
      <c r="BK125" s="18" t="s">
        <v>3930</v>
      </c>
      <c r="BL125" s="18">
        <v>7</v>
      </c>
    </row>
    <row r="126" spans="15:64">
      <c r="O126" s="1" t="s">
        <v>2564</v>
      </c>
      <c r="AA126" s="18" t="s">
        <v>460</v>
      </c>
      <c r="AB126" s="18" t="s">
        <v>723</v>
      </c>
      <c r="AC126" s="18" t="s">
        <v>1314</v>
      </c>
      <c r="AD126" s="18" t="s">
        <v>1863</v>
      </c>
      <c r="AE126" s="18" t="s">
        <v>2183</v>
      </c>
      <c r="AP126" s="18"/>
      <c r="AQ126" s="18"/>
      <c r="AR126" s="18"/>
      <c r="AS126" s="18"/>
      <c r="AT126" s="18"/>
      <c r="AU126" s="18"/>
      <c r="BK126" s="18" t="s">
        <v>3946</v>
      </c>
      <c r="BL126" s="18">
        <v>7</v>
      </c>
    </row>
    <row r="127" spans="15:64">
      <c r="O127" s="1" t="s">
        <v>2565</v>
      </c>
      <c r="AA127" s="18" t="s">
        <v>624</v>
      </c>
      <c r="AB127" s="18" t="s">
        <v>724</v>
      </c>
      <c r="AC127" s="18" t="s">
        <v>1315</v>
      </c>
      <c r="AD127" s="18" t="s">
        <v>1864</v>
      </c>
      <c r="AE127" s="18" t="s">
        <v>2184</v>
      </c>
      <c r="AP127" s="18"/>
      <c r="AQ127" s="18"/>
      <c r="AR127" s="18"/>
      <c r="AS127" s="18"/>
      <c r="AT127" s="18"/>
      <c r="AU127" s="18"/>
      <c r="BK127" s="18" t="s">
        <v>3947</v>
      </c>
      <c r="BL127" s="18">
        <v>7</v>
      </c>
    </row>
    <row r="128" spans="15:64">
      <c r="O128" s="1" t="s">
        <v>2566</v>
      </c>
      <c r="AA128" s="18" t="s">
        <v>625</v>
      </c>
      <c r="AB128" s="18" t="s">
        <v>736</v>
      </c>
      <c r="AC128" s="18" t="s">
        <v>1316</v>
      </c>
      <c r="AD128" s="18" t="s">
        <v>1865</v>
      </c>
      <c r="AE128" s="18" t="s">
        <v>2184</v>
      </c>
      <c r="AP128" s="18"/>
      <c r="AQ128" s="18"/>
      <c r="AR128" s="18"/>
      <c r="AS128" s="18"/>
      <c r="AT128" s="18"/>
      <c r="AU128" s="18"/>
      <c r="BK128" s="18" t="s">
        <v>3927</v>
      </c>
      <c r="BL128" s="18">
        <v>7</v>
      </c>
    </row>
    <row r="129" spans="15:64">
      <c r="O129" s="1" t="s">
        <v>2567</v>
      </c>
      <c r="AA129" s="18" t="s">
        <v>461</v>
      </c>
      <c r="AB129" s="18" t="s">
        <v>725</v>
      </c>
      <c r="AC129" s="18" t="s">
        <v>1317</v>
      </c>
      <c r="AD129" s="18" t="s">
        <v>1866</v>
      </c>
      <c r="AE129" s="18" t="s">
        <v>2185</v>
      </c>
      <c r="AP129" s="18"/>
      <c r="AQ129" s="18"/>
      <c r="AR129" s="18"/>
      <c r="AS129" s="18"/>
      <c r="AT129" s="18"/>
      <c r="AU129" s="18"/>
      <c r="BK129" s="18" t="s">
        <v>3950</v>
      </c>
      <c r="BL129" s="18">
        <v>7</v>
      </c>
    </row>
    <row r="130" spans="15:64">
      <c r="O130" s="1" t="s">
        <v>2568</v>
      </c>
      <c r="AA130" s="18" t="s">
        <v>462</v>
      </c>
      <c r="AB130" s="18" t="s">
        <v>726</v>
      </c>
      <c r="AC130" s="18" t="s">
        <v>1318</v>
      </c>
      <c r="AD130" s="18" t="s">
        <v>1867</v>
      </c>
      <c r="AE130" s="18" t="s">
        <v>2186</v>
      </c>
      <c r="AP130" s="18"/>
      <c r="AQ130" s="18"/>
      <c r="AR130" s="18"/>
      <c r="AS130" s="18"/>
      <c r="AT130" s="18"/>
      <c r="AU130" s="18"/>
      <c r="BK130" s="18" t="s">
        <v>3925</v>
      </c>
      <c r="BL130" s="18">
        <v>7</v>
      </c>
    </row>
    <row r="131" spans="15:64">
      <c r="O131" s="1" t="s">
        <v>2569</v>
      </c>
      <c r="AA131" s="18" t="s">
        <v>463</v>
      </c>
      <c r="AB131" s="18"/>
      <c r="AC131" s="18" t="s">
        <v>1319</v>
      </c>
      <c r="AD131" s="18" t="s">
        <v>1868</v>
      </c>
      <c r="AE131" s="18" t="s">
        <v>2187</v>
      </c>
      <c r="AP131" s="18"/>
      <c r="AQ131" s="18"/>
      <c r="AR131" s="18"/>
      <c r="AS131" s="18"/>
      <c r="AT131" s="18"/>
      <c r="AU131" s="18"/>
      <c r="BK131" s="18" t="s">
        <v>3941</v>
      </c>
      <c r="BL131" s="18">
        <v>7</v>
      </c>
    </row>
    <row r="132" spans="15:64">
      <c r="O132" s="1" t="s">
        <v>2570</v>
      </c>
      <c r="AA132" s="18" t="s">
        <v>464</v>
      </c>
      <c r="AB132" s="18"/>
      <c r="AC132" s="18" t="s">
        <v>1320</v>
      </c>
      <c r="AD132" s="18" t="s">
        <v>1869</v>
      </c>
      <c r="AE132" s="18" t="s">
        <v>2188</v>
      </c>
      <c r="AP132" s="18"/>
      <c r="AQ132" s="18"/>
      <c r="AR132" s="18"/>
      <c r="AS132" s="18"/>
      <c r="AT132" s="18"/>
      <c r="AU132" s="18"/>
      <c r="BK132" s="18" t="s">
        <v>3026</v>
      </c>
      <c r="BL132" s="18">
        <v>1</v>
      </c>
    </row>
    <row r="133" spans="15:64">
      <c r="O133" s="1" t="s">
        <v>2571</v>
      </c>
      <c r="AA133" s="18" t="s">
        <v>465</v>
      </c>
      <c r="AB133" s="18"/>
      <c r="AC133" s="18" t="s">
        <v>1321</v>
      </c>
      <c r="AD133" s="18" t="s">
        <v>1870</v>
      </c>
      <c r="AE133" s="18" t="s">
        <v>2189</v>
      </c>
      <c r="AP133" s="18"/>
      <c r="AQ133" s="18"/>
      <c r="AR133" s="18"/>
      <c r="AS133" s="18"/>
      <c r="AT133" s="18"/>
      <c r="AU133" s="18"/>
      <c r="BK133" s="18" t="s">
        <v>3032</v>
      </c>
      <c r="BL133" s="18">
        <v>1</v>
      </c>
    </row>
    <row r="134" spans="15:64">
      <c r="O134" s="1" t="s">
        <v>2572</v>
      </c>
      <c r="AA134" s="18" t="s">
        <v>466</v>
      </c>
      <c r="AB134" s="18"/>
      <c r="AC134" s="18" t="s">
        <v>1322</v>
      </c>
      <c r="AD134" s="18" t="s">
        <v>1871</v>
      </c>
      <c r="AE134" s="18" t="s">
        <v>2190</v>
      </c>
      <c r="AP134" s="18"/>
      <c r="AQ134" s="18"/>
      <c r="AR134" s="18"/>
      <c r="AS134" s="18"/>
      <c r="AT134" s="18"/>
      <c r="AU134" s="18"/>
      <c r="BK134" s="18" t="s">
        <v>3031</v>
      </c>
      <c r="BL134" s="18">
        <v>1</v>
      </c>
    </row>
    <row r="135" spans="15:64">
      <c r="O135" s="1" t="s">
        <v>2578</v>
      </c>
      <c r="AA135" s="18" t="s">
        <v>467</v>
      </c>
      <c r="AB135" s="18"/>
      <c r="AC135" s="18" t="s">
        <v>1323</v>
      </c>
      <c r="AD135" s="18" t="s">
        <v>1872</v>
      </c>
      <c r="AE135" s="18" t="s">
        <v>2191</v>
      </c>
      <c r="AP135" s="18"/>
      <c r="AQ135" s="18"/>
      <c r="AR135" s="18"/>
      <c r="AS135" s="18"/>
      <c r="AT135" s="18"/>
      <c r="AU135" s="18"/>
      <c r="BK135" s="18" t="s">
        <v>3029</v>
      </c>
      <c r="BL135" s="18">
        <v>1</v>
      </c>
    </row>
    <row r="136" spans="15:64">
      <c r="O136" s="1" t="s">
        <v>2573</v>
      </c>
      <c r="AA136" s="18" t="s">
        <v>468</v>
      </c>
      <c r="AB136" s="18"/>
      <c r="AC136" s="18" t="s">
        <v>1324</v>
      </c>
      <c r="AD136" s="18" t="s">
        <v>1873</v>
      </c>
      <c r="AE136" s="18" t="s">
        <v>2192</v>
      </c>
      <c r="AP136" s="18"/>
      <c r="AQ136" s="18"/>
      <c r="AR136" s="18"/>
      <c r="AS136" s="18"/>
      <c r="AT136" s="18"/>
      <c r="AU136" s="18"/>
      <c r="BK136" s="18" t="s">
        <v>3027</v>
      </c>
      <c r="BL136" s="18">
        <v>1</v>
      </c>
    </row>
    <row r="137" spans="15:64">
      <c r="O137" s="1" t="s">
        <v>2574</v>
      </c>
      <c r="AA137" s="18" t="s">
        <v>645</v>
      </c>
      <c r="AB137" s="18"/>
      <c r="AC137" s="18" t="s">
        <v>1325</v>
      </c>
      <c r="AD137" s="18" t="s">
        <v>1874</v>
      </c>
      <c r="AE137" s="18" t="s">
        <v>2193</v>
      </c>
      <c r="AP137" s="18"/>
      <c r="AQ137" s="18"/>
      <c r="AR137" s="18"/>
      <c r="AS137" s="18"/>
      <c r="AT137" s="18"/>
      <c r="AU137" s="18"/>
      <c r="BK137" s="18" t="s">
        <v>3030</v>
      </c>
      <c r="BL137" s="18">
        <v>1</v>
      </c>
    </row>
    <row r="138" spans="15:64">
      <c r="O138" s="1" t="s">
        <v>2575</v>
      </c>
      <c r="AA138" s="18" t="s">
        <v>469</v>
      </c>
      <c r="AB138" s="18"/>
      <c r="AC138" s="18" t="s">
        <v>1326</v>
      </c>
      <c r="AD138" s="18" t="s">
        <v>1875</v>
      </c>
      <c r="AE138" s="18" t="s">
        <v>2194</v>
      </c>
      <c r="AP138" s="18"/>
      <c r="AQ138" s="18"/>
      <c r="AR138" s="18"/>
      <c r="AS138" s="18"/>
      <c r="AT138" s="18"/>
      <c r="AU138" s="18"/>
      <c r="BK138" s="18" t="s">
        <v>3038</v>
      </c>
      <c r="BL138" s="18">
        <v>1</v>
      </c>
    </row>
    <row r="139" spans="15:64">
      <c r="O139" s="1" t="s">
        <v>2576</v>
      </c>
      <c r="AA139" s="18" t="s">
        <v>470</v>
      </c>
      <c r="AB139" s="18"/>
      <c r="AC139" s="18" t="s">
        <v>1327</v>
      </c>
      <c r="AD139" s="18" t="s">
        <v>1898</v>
      </c>
      <c r="AE139" s="18" t="s">
        <v>2195</v>
      </c>
      <c r="AP139" s="18"/>
      <c r="AQ139" s="18"/>
      <c r="AR139" s="18"/>
      <c r="AS139" s="18"/>
      <c r="AT139" s="18"/>
      <c r="AU139" s="18"/>
      <c r="BK139" s="18" t="s">
        <v>3053</v>
      </c>
      <c r="BL139" s="18">
        <v>1</v>
      </c>
    </row>
    <row r="140" spans="15:64">
      <c r="O140" s="1" t="s">
        <v>2577</v>
      </c>
      <c r="AA140" s="18" t="s">
        <v>471</v>
      </c>
      <c r="AB140" s="18"/>
      <c r="AC140" s="18" t="s">
        <v>1328</v>
      </c>
      <c r="AD140" s="18" t="s">
        <v>1876</v>
      </c>
      <c r="AE140" s="18" t="s">
        <v>2196</v>
      </c>
      <c r="AP140" s="18"/>
      <c r="AQ140" s="18"/>
      <c r="AR140" s="18"/>
      <c r="AS140" s="18"/>
      <c r="AT140" s="18"/>
      <c r="AU140" s="18"/>
      <c r="BK140" s="18" t="s">
        <v>3065</v>
      </c>
      <c r="BL140" s="18">
        <v>1</v>
      </c>
    </row>
    <row r="141" spans="15:64">
      <c r="O141" s="1" t="s">
        <v>2579</v>
      </c>
      <c r="AA141" s="18" t="s">
        <v>472</v>
      </c>
      <c r="AB141" s="18"/>
      <c r="AC141" s="18" t="s">
        <v>1329</v>
      </c>
      <c r="AD141" s="18" t="s">
        <v>1876</v>
      </c>
      <c r="AE141" s="18" t="s">
        <v>2197</v>
      </c>
      <c r="AP141" s="18"/>
      <c r="AQ141" s="18"/>
      <c r="AR141" s="18"/>
      <c r="AS141" s="18"/>
      <c r="AT141" s="18"/>
      <c r="AU141" s="18"/>
      <c r="BK141" s="18" t="s">
        <v>3037</v>
      </c>
      <c r="BL141" s="18">
        <v>1</v>
      </c>
    </row>
    <row r="142" spans="15:64">
      <c r="O142" s="1" t="s">
        <v>2580</v>
      </c>
      <c r="AA142" s="18" t="s">
        <v>473</v>
      </c>
      <c r="AB142" s="18"/>
      <c r="AC142" s="18" t="s">
        <v>1330</v>
      </c>
      <c r="AD142" s="18" t="s">
        <v>1877</v>
      </c>
      <c r="AE142" s="18" t="s">
        <v>2198</v>
      </c>
      <c r="AP142" s="18"/>
      <c r="AQ142" s="18"/>
      <c r="AR142" s="18"/>
      <c r="AS142" s="18"/>
      <c r="AT142" s="18"/>
      <c r="AU142" s="18"/>
      <c r="BK142" s="18" t="s">
        <v>3047</v>
      </c>
      <c r="BL142" s="18">
        <v>1</v>
      </c>
    </row>
    <row r="143" spans="15:64">
      <c r="O143" s="1" t="s">
        <v>2581</v>
      </c>
      <c r="AA143" s="18" t="s">
        <v>474</v>
      </c>
      <c r="AB143" s="18"/>
      <c r="AC143" s="18" t="s">
        <v>1331</v>
      </c>
      <c r="AD143" s="18" t="s">
        <v>1878</v>
      </c>
      <c r="AE143" s="18" t="s">
        <v>2199</v>
      </c>
      <c r="AP143" s="18"/>
      <c r="AQ143" s="18"/>
      <c r="AR143" s="18"/>
      <c r="AS143" s="18"/>
      <c r="AT143" s="18"/>
      <c r="AU143" s="18"/>
      <c r="BK143" s="18" t="s">
        <v>3041</v>
      </c>
      <c r="BL143" s="18">
        <v>1</v>
      </c>
    </row>
    <row r="144" spans="15:64">
      <c r="O144" s="1" t="s">
        <v>2582</v>
      </c>
      <c r="AA144" s="18" t="s">
        <v>475</v>
      </c>
      <c r="AB144" s="18"/>
      <c r="AC144" s="18" t="s">
        <v>1332</v>
      </c>
      <c r="AD144" s="18" t="s">
        <v>1879</v>
      </c>
      <c r="AE144" s="18" t="s">
        <v>2202</v>
      </c>
      <c r="AP144" s="18"/>
      <c r="AQ144" s="18"/>
      <c r="AR144" s="18"/>
      <c r="AS144" s="18"/>
      <c r="AT144" s="18"/>
      <c r="AU144" s="18"/>
      <c r="BK144" s="18" t="s">
        <v>3066</v>
      </c>
      <c r="BL144" s="18">
        <v>1</v>
      </c>
    </row>
    <row r="145" spans="15:64">
      <c r="O145" s="1" t="s">
        <v>2583</v>
      </c>
      <c r="AA145" s="18" t="s">
        <v>476</v>
      </c>
      <c r="AB145" s="18"/>
      <c r="AC145" s="18" t="s">
        <v>1333</v>
      </c>
      <c r="AD145" s="18" t="s">
        <v>1880</v>
      </c>
      <c r="AE145" s="18" t="s">
        <v>2200</v>
      </c>
      <c r="BK145" s="18" t="s">
        <v>3042</v>
      </c>
      <c r="BL145" s="18">
        <v>1</v>
      </c>
    </row>
    <row r="146" spans="15:64">
      <c r="O146" s="1" t="s">
        <v>2584</v>
      </c>
      <c r="AA146" s="18" t="s">
        <v>477</v>
      </c>
      <c r="AB146" s="18"/>
      <c r="AC146" s="18" t="s">
        <v>1334</v>
      </c>
      <c r="AD146" s="18" t="s">
        <v>1880</v>
      </c>
      <c r="AE146" s="18" t="s">
        <v>2201</v>
      </c>
      <c r="BK146" s="18" t="s">
        <v>3054</v>
      </c>
      <c r="BL146" s="18">
        <v>1</v>
      </c>
    </row>
    <row r="147" spans="15:64">
      <c r="O147" s="1" t="s">
        <v>2585</v>
      </c>
      <c r="AA147" s="18" t="s">
        <v>478</v>
      </c>
      <c r="AB147" s="18"/>
      <c r="AC147" s="18" t="s">
        <v>1335</v>
      </c>
      <c r="AD147" s="18" t="s">
        <v>1881</v>
      </c>
      <c r="AE147" s="18" t="s">
        <v>2203</v>
      </c>
      <c r="BK147" s="18" t="s">
        <v>3040</v>
      </c>
      <c r="BL147" s="18">
        <v>1</v>
      </c>
    </row>
    <row r="148" spans="15:64">
      <c r="O148" s="1" t="s">
        <v>2586</v>
      </c>
      <c r="AA148" s="18" t="s">
        <v>479</v>
      </c>
      <c r="AB148" s="18"/>
      <c r="AC148" s="18" t="s">
        <v>1336</v>
      </c>
      <c r="AD148" s="18" t="s">
        <v>1882</v>
      </c>
      <c r="AE148" s="18" t="s">
        <v>2204</v>
      </c>
      <c r="BK148" s="18" t="s">
        <v>3055</v>
      </c>
      <c r="BL148" s="18">
        <v>1</v>
      </c>
    </row>
    <row r="149" spans="15:64">
      <c r="O149" s="1" t="s">
        <v>2587</v>
      </c>
      <c r="AA149" s="18" t="s">
        <v>480</v>
      </c>
      <c r="AB149" s="18"/>
      <c r="AC149" s="18" t="s">
        <v>1337</v>
      </c>
      <c r="AD149" s="18" t="s">
        <v>1883</v>
      </c>
      <c r="AE149" s="18" t="s">
        <v>2207</v>
      </c>
      <c r="BK149" s="18" t="s">
        <v>3048</v>
      </c>
      <c r="BL149" s="18">
        <v>1</v>
      </c>
    </row>
    <row r="150" spans="15:64">
      <c r="O150" s="1" t="s">
        <v>2588</v>
      </c>
      <c r="AA150" s="18" t="s">
        <v>626</v>
      </c>
      <c r="AB150" s="18"/>
      <c r="AC150" s="18" t="s">
        <v>1338</v>
      </c>
      <c r="AD150" s="18" t="s">
        <v>1884</v>
      </c>
      <c r="AE150" s="18" t="s">
        <v>2205</v>
      </c>
      <c r="BK150" s="18" t="s">
        <v>3056</v>
      </c>
      <c r="BL150" s="18">
        <v>1</v>
      </c>
    </row>
    <row r="151" spans="15:64">
      <c r="O151" s="1" t="s">
        <v>2589</v>
      </c>
      <c r="AA151" s="18" t="s">
        <v>481</v>
      </c>
      <c r="AB151" s="18"/>
      <c r="AC151" s="18" t="s">
        <v>1339</v>
      </c>
      <c r="AD151" s="18" t="s">
        <v>1885</v>
      </c>
      <c r="AE151" s="18" t="s">
        <v>2206</v>
      </c>
      <c r="BK151" s="18" t="s">
        <v>3044</v>
      </c>
      <c r="BL151" s="18">
        <v>1</v>
      </c>
    </row>
    <row r="152" spans="15:64">
      <c r="O152" s="1" t="s">
        <v>2590</v>
      </c>
      <c r="AA152" s="18" t="s">
        <v>646</v>
      </c>
      <c r="AB152" s="18"/>
      <c r="AC152" s="18" t="s">
        <v>1340</v>
      </c>
      <c r="AD152" s="18" t="s">
        <v>1886</v>
      </c>
      <c r="AE152" s="18" t="s">
        <v>2211</v>
      </c>
      <c r="BK152" s="18" t="s">
        <v>3057</v>
      </c>
      <c r="BL152" s="18">
        <v>1</v>
      </c>
    </row>
    <row r="153" spans="15:64">
      <c r="O153" s="1" t="s">
        <v>2591</v>
      </c>
      <c r="AA153" s="18" t="s">
        <v>482</v>
      </c>
      <c r="AB153" s="18"/>
      <c r="AC153" s="18" t="s">
        <v>1341</v>
      </c>
      <c r="AD153" s="18" t="s">
        <v>1887</v>
      </c>
      <c r="AE153" s="18" t="s">
        <v>1489</v>
      </c>
      <c r="BK153" s="18" t="s">
        <v>3068</v>
      </c>
      <c r="BL153" s="18">
        <v>1</v>
      </c>
    </row>
    <row r="154" spans="15:64">
      <c r="O154" s="1" t="s">
        <v>2592</v>
      </c>
      <c r="AA154" s="18" t="s">
        <v>483</v>
      </c>
      <c r="AB154" s="18"/>
      <c r="AC154" s="18" t="s">
        <v>1342</v>
      </c>
      <c r="AD154" s="18" t="s">
        <v>1899</v>
      </c>
      <c r="AE154" s="18" t="s">
        <v>2208</v>
      </c>
      <c r="BK154" s="18" t="s">
        <v>3050</v>
      </c>
      <c r="BL154" s="18">
        <v>1</v>
      </c>
    </row>
    <row r="155" spans="15:64">
      <c r="O155" s="1" t="s">
        <v>2593</v>
      </c>
      <c r="AA155" s="18" t="s">
        <v>484</v>
      </c>
      <c r="AB155" s="18"/>
      <c r="AC155" s="18" t="s">
        <v>1343</v>
      </c>
      <c r="AD155" s="18" t="s">
        <v>1888</v>
      </c>
      <c r="AE155" s="18" t="s">
        <v>2210</v>
      </c>
      <c r="BK155" s="18" t="s">
        <v>3058</v>
      </c>
      <c r="BL155" s="18">
        <v>1</v>
      </c>
    </row>
    <row r="156" spans="15:64">
      <c r="O156" s="1" t="s">
        <v>2594</v>
      </c>
      <c r="AA156" s="18" t="s">
        <v>485</v>
      </c>
      <c r="AB156" s="18"/>
      <c r="AC156" s="18" t="s">
        <v>1344</v>
      </c>
      <c r="AD156" s="18" t="s">
        <v>1889</v>
      </c>
      <c r="AE156" s="18" t="s">
        <v>2209</v>
      </c>
      <c r="BK156" s="18" t="s">
        <v>3059</v>
      </c>
      <c r="BL156" s="18">
        <v>1</v>
      </c>
    </row>
    <row r="157" spans="15:64">
      <c r="O157" s="1" t="s">
        <v>2595</v>
      </c>
      <c r="AA157" s="18" t="s">
        <v>486</v>
      </c>
      <c r="AB157" s="18"/>
      <c r="AC157" s="18" t="s">
        <v>1345</v>
      </c>
      <c r="AD157" s="18" t="s">
        <v>1890</v>
      </c>
      <c r="AE157" s="18" t="s">
        <v>2212</v>
      </c>
      <c r="BK157" s="18" t="s">
        <v>3067</v>
      </c>
      <c r="BL157" s="18">
        <v>1</v>
      </c>
    </row>
    <row r="158" spans="15:64">
      <c r="O158" s="1" t="s">
        <v>2596</v>
      </c>
      <c r="AA158" s="18" t="s">
        <v>487</v>
      </c>
      <c r="AB158" s="18"/>
      <c r="AC158" s="18" t="s">
        <v>1346</v>
      </c>
      <c r="AD158" s="18" t="s">
        <v>1891</v>
      </c>
      <c r="AE158" s="18" t="s">
        <v>2213</v>
      </c>
      <c r="BK158" s="18" t="s">
        <v>3033</v>
      </c>
      <c r="BL158" s="18">
        <v>1</v>
      </c>
    </row>
    <row r="159" spans="15:64">
      <c r="O159" s="1" t="s">
        <v>2597</v>
      </c>
      <c r="AA159" s="18" t="s">
        <v>488</v>
      </c>
      <c r="AB159" s="18"/>
      <c r="AC159" s="18" t="s">
        <v>1347</v>
      </c>
      <c r="AD159" s="18" t="s">
        <v>1892</v>
      </c>
      <c r="AE159" s="18" t="s">
        <v>2214</v>
      </c>
      <c r="BK159" s="18" t="s">
        <v>3060</v>
      </c>
      <c r="BL159" s="18">
        <v>1</v>
      </c>
    </row>
    <row r="160" spans="15:64">
      <c r="O160" s="1" t="s">
        <v>2598</v>
      </c>
      <c r="AA160" s="18" t="s">
        <v>489</v>
      </c>
      <c r="AB160" s="18"/>
      <c r="AC160" s="18" t="s">
        <v>1348</v>
      </c>
      <c r="AD160" s="18" t="s">
        <v>1893</v>
      </c>
      <c r="AE160" s="18" t="s">
        <v>2215</v>
      </c>
      <c r="BK160" s="18" t="s">
        <v>3051</v>
      </c>
      <c r="BL160" s="18">
        <v>1</v>
      </c>
    </row>
    <row r="161" spans="15:64">
      <c r="O161" s="1" t="s">
        <v>2599</v>
      </c>
      <c r="AA161" s="18" t="s">
        <v>490</v>
      </c>
      <c r="AB161" s="18"/>
      <c r="AC161" s="18" t="s">
        <v>1349</v>
      </c>
      <c r="AD161" s="18" t="s">
        <v>1894</v>
      </c>
      <c r="AE161" s="18" t="s">
        <v>2216</v>
      </c>
      <c r="BK161" s="18" t="s">
        <v>3062</v>
      </c>
      <c r="BL161" s="18">
        <v>1</v>
      </c>
    </row>
    <row r="162" spans="15:64">
      <c r="O162" s="1" t="s">
        <v>2600</v>
      </c>
      <c r="AA162" s="18" t="s">
        <v>491</v>
      </c>
      <c r="AB162" s="18"/>
      <c r="AC162" s="18" t="s">
        <v>1350</v>
      </c>
      <c r="AD162" s="18" t="s">
        <v>1895</v>
      </c>
      <c r="AE162" s="18" t="s">
        <v>2217</v>
      </c>
      <c r="BK162" s="18" t="s">
        <v>3034</v>
      </c>
      <c r="BL162" s="18">
        <v>1</v>
      </c>
    </row>
    <row r="163" spans="15:64">
      <c r="O163" s="1" t="s">
        <v>2601</v>
      </c>
      <c r="AA163" s="18" t="s">
        <v>647</v>
      </c>
      <c r="AB163" s="18"/>
      <c r="AC163" s="18" t="s">
        <v>1351</v>
      </c>
      <c r="AD163" s="18" t="s">
        <v>1896</v>
      </c>
      <c r="AE163" s="18" t="s">
        <v>2218</v>
      </c>
      <c r="BK163" s="18" t="s">
        <v>3035</v>
      </c>
      <c r="BL163" s="18">
        <v>1</v>
      </c>
    </row>
    <row r="164" spans="15:64">
      <c r="O164" s="1" t="s">
        <v>2602</v>
      </c>
      <c r="AA164" s="18" t="s">
        <v>627</v>
      </c>
      <c r="AB164" s="18"/>
      <c r="AC164" s="18" t="s">
        <v>1352</v>
      </c>
      <c r="AD164" s="18" t="s">
        <v>1897</v>
      </c>
      <c r="AE164" s="18" t="s">
        <v>2219</v>
      </c>
      <c r="BK164" s="18" t="s">
        <v>3063</v>
      </c>
      <c r="BL164" s="18">
        <v>1</v>
      </c>
    </row>
    <row r="165" spans="15:64">
      <c r="O165" s="1" t="s">
        <v>2603</v>
      </c>
      <c r="AA165" s="18" t="s">
        <v>492</v>
      </c>
      <c r="AB165" s="18"/>
      <c r="AC165" s="18" t="s">
        <v>1353</v>
      </c>
      <c r="AD165" s="18" t="s">
        <v>1900</v>
      </c>
      <c r="AE165" s="18" t="s">
        <v>2220</v>
      </c>
      <c r="BK165" s="18" t="s">
        <v>3043</v>
      </c>
      <c r="BL165" s="18">
        <v>1</v>
      </c>
    </row>
    <row r="166" spans="15:64">
      <c r="O166" s="1" t="s">
        <v>2604</v>
      </c>
      <c r="AA166" s="18" t="s">
        <v>493</v>
      </c>
      <c r="AB166" s="18"/>
      <c r="AC166" s="18" t="s">
        <v>1354</v>
      </c>
      <c r="AD166" s="18" t="s">
        <v>1901</v>
      </c>
      <c r="AE166" s="18" t="s">
        <v>2221</v>
      </c>
      <c r="BK166" s="18" t="s">
        <v>3045</v>
      </c>
      <c r="BL166" s="18">
        <v>1</v>
      </c>
    </row>
    <row r="167" spans="15:64">
      <c r="O167" s="1" t="s">
        <v>2605</v>
      </c>
      <c r="AA167" s="18" t="s">
        <v>628</v>
      </c>
      <c r="AB167" s="18"/>
      <c r="AC167" s="18" t="s">
        <v>1355</v>
      </c>
      <c r="AD167" s="18" t="s">
        <v>1902</v>
      </c>
      <c r="AE167" s="18" t="s">
        <v>2222</v>
      </c>
      <c r="BK167" s="18" t="s">
        <v>3046</v>
      </c>
      <c r="BL167" s="18">
        <v>1</v>
      </c>
    </row>
    <row r="168" spans="15:64">
      <c r="O168" s="1" t="s">
        <v>2606</v>
      </c>
      <c r="AA168" s="18" t="s">
        <v>494</v>
      </c>
      <c r="AB168" s="18"/>
      <c r="AC168" s="18" t="s">
        <v>1356</v>
      </c>
      <c r="AD168" s="18" t="s">
        <v>1903</v>
      </c>
      <c r="AE168" s="18" t="s">
        <v>2223</v>
      </c>
      <c r="BK168" s="18" t="s">
        <v>3052</v>
      </c>
      <c r="BL168" s="18">
        <v>1</v>
      </c>
    </row>
    <row r="169" spans="15:64">
      <c r="O169" s="1" t="s">
        <v>2607</v>
      </c>
      <c r="AA169" s="18" t="s">
        <v>495</v>
      </c>
      <c r="AB169" s="18"/>
      <c r="AC169" s="18" t="s">
        <v>1357</v>
      </c>
      <c r="AD169" s="18" t="s">
        <v>1904</v>
      </c>
      <c r="AE169" s="18" t="s">
        <v>2224</v>
      </c>
      <c r="BK169" s="18" t="s">
        <v>3039</v>
      </c>
      <c r="BL169" s="18">
        <v>1</v>
      </c>
    </row>
    <row r="170" spans="15:64">
      <c r="O170" s="1" t="s">
        <v>2608</v>
      </c>
      <c r="AA170" s="18" t="s">
        <v>496</v>
      </c>
      <c r="AB170" s="18"/>
      <c r="AC170" s="18" t="s">
        <v>1358</v>
      </c>
      <c r="AD170" s="18" t="s">
        <v>1905</v>
      </c>
      <c r="AE170" s="18" t="s">
        <v>2225</v>
      </c>
      <c r="BK170" s="18" t="s">
        <v>3061</v>
      </c>
      <c r="BL170" s="18">
        <v>1</v>
      </c>
    </row>
    <row r="171" spans="15:64">
      <c r="O171" s="1" t="s">
        <v>2614</v>
      </c>
      <c r="AA171" s="18" t="s">
        <v>629</v>
      </c>
      <c r="AB171" s="18"/>
      <c r="AC171" s="18" t="s">
        <v>1359</v>
      </c>
      <c r="AD171" s="18" t="s">
        <v>1906</v>
      </c>
      <c r="AE171" s="18" t="s">
        <v>2226</v>
      </c>
      <c r="BK171" s="18" t="s">
        <v>3036</v>
      </c>
      <c r="BL171" s="18">
        <v>1</v>
      </c>
    </row>
    <row r="172" spans="15:64">
      <c r="O172" s="1" t="s">
        <v>2609</v>
      </c>
      <c r="AA172" s="18" t="s">
        <v>497</v>
      </c>
      <c r="AB172" s="18"/>
      <c r="AC172" s="18" t="s">
        <v>1360</v>
      </c>
      <c r="AD172" s="18" t="s">
        <v>1907</v>
      </c>
      <c r="AE172" s="18" t="s">
        <v>2227</v>
      </c>
      <c r="BK172" s="18" t="s">
        <v>3049</v>
      </c>
      <c r="BL172" s="18">
        <v>1</v>
      </c>
    </row>
    <row r="173" spans="15:64">
      <c r="O173" s="1" t="s">
        <v>2610</v>
      </c>
      <c r="AA173" s="18" t="s">
        <v>630</v>
      </c>
      <c r="AB173" s="18"/>
      <c r="AC173" s="18" t="s">
        <v>1361</v>
      </c>
      <c r="AD173" s="18" t="s">
        <v>1908</v>
      </c>
      <c r="AE173" s="18" t="s">
        <v>2228</v>
      </c>
      <c r="BK173" s="18" t="s">
        <v>3064</v>
      </c>
      <c r="BL173" s="18">
        <v>1</v>
      </c>
    </row>
    <row r="174" spans="15:64">
      <c r="O174" s="1" t="s">
        <v>2611</v>
      </c>
      <c r="AA174" s="18" t="s">
        <v>498</v>
      </c>
      <c r="AB174" s="18"/>
      <c r="AC174" s="18" t="s">
        <v>1362</v>
      </c>
      <c r="AD174" s="18" t="s">
        <v>1909</v>
      </c>
      <c r="AE174" s="18" t="s">
        <v>2228</v>
      </c>
      <c r="BK174" s="18" t="s">
        <v>3025</v>
      </c>
      <c r="BL174" s="18">
        <v>1</v>
      </c>
    </row>
    <row r="175" spans="15:64">
      <c r="O175" s="1" t="s">
        <v>2612</v>
      </c>
      <c r="AA175" s="18" t="s">
        <v>499</v>
      </c>
      <c r="AB175" s="18"/>
      <c r="AC175" s="18" t="s">
        <v>1363</v>
      </c>
      <c r="AD175" s="18" t="s">
        <v>1910</v>
      </c>
      <c r="AE175" s="18" t="s">
        <v>2229</v>
      </c>
      <c r="BK175" s="18" t="s">
        <v>3028</v>
      </c>
      <c r="BL175" s="18">
        <v>1</v>
      </c>
    </row>
    <row r="176" spans="15:64">
      <c r="O176" s="1" t="s">
        <v>2613</v>
      </c>
      <c r="AA176" s="18" t="s">
        <v>648</v>
      </c>
      <c r="AB176" s="18"/>
      <c r="AC176" s="18" t="s">
        <v>1364</v>
      </c>
      <c r="AD176" s="18" t="s">
        <v>1911</v>
      </c>
      <c r="AE176" s="18" t="s">
        <v>2230</v>
      </c>
      <c r="BK176" s="18" t="s">
        <v>3188</v>
      </c>
      <c r="BL176" s="18">
        <v>12</v>
      </c>
    </row>
    <row r="177" spans="15:64">
      <c r="O177" s="1" t="s">
        <v>2615</v>
      </c>
      <c r="AA177" s="18" t="s">
        <v>500</v>
      </c>
      <c r="AB177" s="18"/>
      <c r="AC177" s="18" t="s">
        <v>1365</v>
      </c>
      <c r="AD177" s="18" t="s">
        <v>1912</v>
      </c>
      <c r="AE177" s="18" t="s">
        <v>2231</v>
      </c>
      <c r="BK177" s="18" t="s">
        <v>3189</v>
      </c>
      <c r="BL177" s="18">
        <v>12</v>
      </c>
    </row>
    <row r="178" spans="15:64">
      <c r="O178" s="1" t="s">
        <v>2616</v>
      </c>
      <c r="AA178" s="18" t="s">
        <v>501</v>
      </c>
      <c r="AB178" s="18"/>
      <c r="AC178" s="18" t="s">
        <v>1366</v>
      </c>
      <c r="AD178" s="18" t="s">
        <v>1913</v>
      </c>
      <c r="AE178" s="18" t="s">
        <v>2232</v>
      </c>
      <c r="BK178" s="18" t="s">
        <v>3190</v>
      </c>
      <c r="BL178" s="18">
        <v>12</v>
      </c>
    </row>
    <row r="179" spans="15:64">
      <c r="O179" s="1" t="s">
        <v>2617</v>
      </c>
      <c r="AA179" s="18" t="s">
        <v>502</v>
      </c>
      <c r="AB179" s="18"/>
      <c r="AC179" s="18" t="s">
        <v>1367</v>
      </c>
      <c r="AD179" s="18" t="s">
        <v>1914</v>
      </c>
      <c r="AE179" s="18" t="s">
        <v>2233</v>
      </c>
      <c r="BK179" s="18" t="s">
        <v>3192</v>
      </c>
      <c r="BL179" s="18">
        <v>12</v>
      </c>
    </row>
    <row r="180" spans="15:64">
      <c r="O180" s="1" t="s">
        <v>2618</v>
      </c>
      <c r="AA180" s="18" t="s">
        <v>503</v>
      </c>
      <c r="AB180" s="18"/>
      <c r="AC180" s="18" t="s">
        <v>1368</v>
      </c>
      <c r="AD180" s="18" t="s">
        <v>1915</v>
      </c>
      <c r="AE180" s="18" t="s">
        <v>2234</v>
      </c>
      <c r="BK180" s="18" t="s">
        <v>3191</v>
      </c>
      <c r="BL180" s="18">
        <v>12</v>
      </c>
    </row>
    <row r="181" spans="15:64">
      <c r="O181" s="1" t="s">
        <v>2619</v>
      </c>
      <c r="AA181" s="18" t="s">
        <v>504</v>
      </c>
      <c r="AB181" s="18"/>
      <c r="AC181" s="18" t="s">
        <v>1369</v>
      </c>
      <c r="AD181" s="18" t="s">
        <v>1916</v>
      </c>
      <c r="AE181" s="18" t="s">
        <v>2238</v>
      </c>
      <c r="BK181" s="18" t="s">
        <v>3836</v>
      </c>
      <c r="BL181" s="18">
        <v>6</v>
      </c>
    </row>
    <row r="182" spans="15:64">
      <c r="O182" s="1" t="s">
        <v>2620</v>
      </c>
      <c r="AA182" s="18" t="s">
        <v>505</v>
      </c>
      <c r="AB182" s="18"/>
      <c r="AC182" s="18" t="s">
        <v>1370</v>
      </c>
      <c r="AD182" s="18" t="s">
        <v>1917</v>
      </c>
      <c r="AE182" s="18" t="s">
        <v>2239</v>
      </c>
      <c r="BK182" s="18" t="s">
        <v>3835</v>
      </c>
      <c r="BL182" s="18">
        <v>6</v>
      </c>
    </row>
    <row r="183" spans="15:64">
      <c r="O183" s="1" t="s">
        <v>2621</v>
      </c>
      <c r="AA183" s="18" t="s">
        <v>506</v>
      </c>
      <c r="AB183" s="18"/>
      <c r="AC183" s="18" t="s">
        <v>1371</v>
      </c>
      <c r="AD183" s="18" t="s">
        <v>1918</v>
      </c>
      <c r="AE183" s="18" t="s">
        <v>2240</v>
      </c>
      <c r="BK183" s="18" t="s">
        <v>3839</v>
      </c>
      <c r="BL183" s="18">
        <v>6</v>
      </c>
    </row>
    <row r="184" spans="15:64">
      <c r="O184" s="1" t="s">
        <v>2622</v>
      </c>
      <c r="AA184" s="18" t="s">
        <v>507</v>
      </c>
      <c r="AB184" s="18"/>
      <c r="AC184" s="18" t="s">
        <v>1372</v>
      </c>
      <c r="AD184" s="18" t="s">
        <v>1919</v>
      </c>
      <c r="AE184" s="18" t="s">
        <v>2235</v>
      </c>
      <c r="BK184" s="18" t="s">
        <v>3838</v>
      </c>
      <c r="BL184" s="18">
        <v>6</v>
      </c>
    </row>
    <row r="185" spans="15:64">
      <c r="O185" s="1" t="s">
        <v>2623</v>
      </c>
      <c r="AA185" s="18" t="s">
        <v>508</v>
      </c>
      <c r="AB185" s="18"/>
      <c r="AC185" s="18" t="s">
        <v>1373</v>
      </c>
      <c r="AD185" s="18" t="s">
        <v>1920</v>
      </c>
      <c r="AE185" s="18" t="s">
        <v>2236</v>
      </c>
      <c r="BK185" s="18" t="s">
        <v>3831</v>
      </c>
      <c r="BL185" s="18">
        <v>6</v>
      </c>
    </row>
    <row r="186" spans="15:64">
      <c r="O186" s="1" t="s">
        <v>2624</v>
      </c>
      <c r="AA186" s="18" t="s">
        <v>509</v>
      </c>
      <c r="AB186" s="18"/>
      <c r="AC186" s="18" t="s">
        <v>1374</v>
      </c>
      <c r="AD186" s="18" t="s">
        <v>1921</v>
      </c>
      <c r="AE186" s="18" t="s">
        <v>2237</v>
      </c>
      <c r="BK186" s="18" t="s">
        <v>3832</v>
      </c>
      <c r="BL186" s="18">
        <v>6</v>
      </c>
    </row>
    <row r="187" spans="15:64">
      <c r="O187" s="1" t="s">
        <v>2625</v>
      </c>
      <c r="AA187" s="18" t="s">
        <v>510</v>
      </c>
      <c r="AB187" s="18"/>
      <c r="AC187" s="18" t="s">
        <v>1375</v>
      </c>
      <c r="AD187" s="18" t="s">
        <v>1922</v>
      </c>
      <c r="AE187" s="18" t="s">
        <v>2241</v>
      </c>
      <c r="BK187" s="18" t="s">
        <v>3833</v>
      </c>
      <c r="BL187" s="18">
        <v>6</v>
      </c>
    </row>
    <row r="188" spans="15:64">
      <c r="O188" s="1" t="s">
        <v>2626</v>
      </c>
      <c r="AA188" s="18" t="s">
        <v>511</v>
      </c>
      <c r="AB188" s="18"/>
      <c r="AC188" s="18" t="s">
        <v>1376</v>
      </c>
      <c r="AD188" s="18" t="s">
        <v>1923</v>
      </c>
      <c r="AE188" s="18" t="s">
        <v>1535</v>
      </c>
      <c r="BK188" s="18" t="s">
        <v>3837</v>
      </c>
      <c r="BL188" s="18">
        <v>6</v>
      </c>
    </row>
    <row r="189" spans="15:64">
      <c r="O189" s="1" t="s">
        <v>2627</v>
      </c>
      <c r="AA189" s="18" t="s">
        <v>512</v>
      </c>
      <c r="AB189" s="18"/>
      <c r="AC189" s="18" t="s">
        <v>1377</v>
      </c>
      <c r="AD189" s="18" t="s">
        <v>1924</v>
      </c>
      <c r="AE189" s="18" t="s">
        <v>1535</v>
      </c>
      <c r="BK189" s="18" t="s">
        <v>3834</v>
      </c>
      <c r="BL189" s="18">
        <v>6</v>
      </c>
    </row>
    <row r="190" spans="15:64">
      <c r="O190" s="1" t="s">
        <v>2628</v>
      </c>
      <c r="AA190" s="18" t="s">
        <v>513</v>
      </c>
      <c r="AB190" s="18"/>
      <c r="AC190" s="18" t="s">
        <v>1378</v>
      </c>
      <c r="AD190" s="18" t="s">
        <v>1925</v>
      </c>
      <c r="AE190" s="18" t="s">
        <v>2242</v>
      </c>
      <c r="BK190" s="18" t="s">
        <v>3782</v>
      </c>
      <c r="BL190" s="18">
        <v>6</v>
      </c>
    </row>
    <row r="191" spans="15:64">
      <c r="O191" s="1" t="s">
        <v>2629</v>
      </c>
      <c r="AA191" s="18" t="s">
        <v>514</v>
      </c>
      <c r="AB191" s="18"/>
      <c r="AC191" s="18" t="s">
        <v>1379</v>
      </c>
      <c r="AD191" s="18" t="s">
        <v>1926</v>
      </c>
      <c r="AE191" s="18" t="s">
        <v>2243</v>
      </c>
      <c r="BK191" s="18" t="s">
        <v>3781</v>
      </c>
      <c r="BL191" s="18">
        <v>6</v>
      </c>
    </row>
    <row r="192" spans="15:64">
      <c r="O192" s="1" t="s">
        <v>2630</v>
      </c>
      <c r="AA192" s="18" t="s">
        <v>631</v>
      </c>
      <c r="AB192" s="18"/>
      <c r="AC192" s="18" t="s">
        <v>1380</v>
      </c>
      <c r="AD192" s="18" t="s">
        <v>1927</v>
      </c>
      <c r="AE192" s="18" t="s">
        <v>2244</v>
      </c>
      <c r="BK192" s="18" t="s">
        <v>3785</v>
      </c>
      <c r="BL192" s="18">
        <v>6</v>
      </c>
    </row>
    <row r="193" spans="15:64">
      <c r="O193" s="1" t="s">
        <v>2631</v>
      </c>
      <c r="AA193" s="18" t="s">
        <v>515</v>
      </c>
      <c r="AB193" s="18"/>
      <c r="AC193" s="18" t="s">
        <v>1381</v>
      </c>
      <c r="AD193" s="18" t="s">
        <v>1928</v>
      </c>
      <c r="AE193" s="18" t="s">
        <v>2245</v>
      </c>
      <c r="BK193" s="18" t="s">
        <v>3784</v>
      </c>
      <c r="BL193" s="18">
        <v>6</v>
      </c>
    </row>
    <row r="194" spans="15:64">
      <c r="O194" s="1" t="s">
        <v>2632</v>
      </c>
      <c r="AA194" s="18" t="s">
        <v>516</v>
      </c>
      <c r="AB194" s="18"/>
      <c r="AC194" s="18" t="s">
        <v>1382</v>
      </c>
      <c r="AD194" s="18" t="s">
        <v>1929</v>
      </c>
      <c r="AE194" s="18" t="s">
        <v>2246</v>
      </c>
      <c r="BK194" s="18" t="s">
        <v>3777</v>
      </c>
      <c r="BL194" s="18">
        <v>6</v>
      </c>
    </row>
    <row r="195" spans="15:64">
      <c r="AA195" s="18" t="s">
        <v>517</v>
      </c>
      <c r="AB195" s="18"/>
      <c r="AC195" s="18" t="s">
        <v>1383</v>
      </c>
      <c r="AD195" s="18" t="s">
        <v>1930</v>
      </c>
      <c r="AE195" s="18" t="s">
        <v>2247</v>
      </c>
      <c r="BK195" s="18" t="s">
        <v>3778</v>
      </c>
      <c r="BL195" s="18">
        <v>6</v>
      </c>
    </row>
    <row r="196" spans="15:64">
      <c r="AA196" s="18" t="s">
        <v>518</v>
      </c>
      <c r="AB196" s="18"/>
      <c r="AC196" s="18" t="s">
        <v>1384</v>
      </c>
      <c r="AD196" s="18" t="s">
        <v>1931</v>
      </c>
      <c r="AE196" s="18" t="s">
        <v>2248</v>
      </c>
      <c r="BK196" s="18" t="s">
        <v>3779</v>
      </c>
      <c r="BL196" s="18">
        <v>6</v>
      </c>
    </row>
    <row r="197" spans="15:64">
      <c r="AA197" s="18" t="s">
        <v>519</v>
      </c>
      <c r="AB197" s="18"/>
      <c r="AC197" s="18" t="s">
        <v>1385</v>
      </c>
      <c r="AD197" s="18" t="s">
        <v>1932</v>
      </c>
      <c r="AE197" s="18" t="s">
        <v>2249</v>
      </c>
      <c r="BK197" s="18" t="s">
        <v>3783</v>
      </c>
      <c r="BL197" s="18">
        <v>6</v>
      </c>
    </row>
    <row r="198" spans="15:64">
      <c r="AA198" s="18" t="s">
        <v>520</v>
      </c>
      <c r="AB198" s="18"/>
      <c r="AC198" s="18" t="s">
        <v>1386</v>
      </c>
      <c r="AD198" s="18" t="s">
        <v>1933</v>
      </c>
      <c r="AE198" s="18" t="s">
        <v>2250</v>
      </c>
      <c r="BK198" s="18" t="s">
        <v>3780</v>
      </c>
      <c r="BL198" s="18">
        <v>6</v>
      </c>
    </row>
    <row r="199" spans="15:64">
      <c r="AA199" s="18" t="s">
        <v>521</v>
      </c>
      <c r="AB199" s="18"/>
      <c r="AC199" s="18" t="s">
        <v>1387</v>
      </c>
      <c r="AD199" s="18" t="s">
        <v>1934</v>
      </c>
      <c r="AE199" s="18" t="s">
        <v>2251</v>
      </c>
      <c r="BK199" s="18" t="s">
        <v>3818</v>
      </c>
      <c r="BL199" s="18">
        <v>6</v>
      </c>
    </row>
    <row r="200" spans="15:64">
      <c r="AA200" s="18" t="s">
        <v>522</v>
      </c>
      <c r="AB200" s="18"/>
      <c r="AC200" s="18" t="s">
        <v>1388</v>
      </c>
      <c r="AD200" s="18" t="s">
        <v>1935</v>
      </c>
      <c r="AE200" s="18" t="s">
        <v>2252</v>
      </c>
      <c r="BK200" s="18" t="s">
        <v>3817</v>
      </c>
      <c r="BL200" s="18">
        <v>6</v>
      </c>
    </row>
    <row r="201" spans="15:64">
      <c r="AA201" s="18" t="s">
        <v>523</v>
      </c>
      <c r="AB201" s="18"/>
      <c r="AC201" s="18" t="s">
        <v>1389</v>
      </c>
      <c r="AD201" s="18" t="s">
        <v>1936</v>
      </c>
      <c r="AE201" s="18" t="s">
        <v>2252</v>
      </c>
      <c r="BK201" s="18" t="s">
        <v>3821</v>
      </c>
      <c r="BL201" s="18">
        <v>6</v>
      </c>
    </row>
    <row r="202" spans="15:64">
      <c r="AA202" s="18" t="s">
        <v>524</v>
      </c>
      <c r="AB202" s="18"/>
      <c r="AC202" s="18" t="s">
        <v>1390</v>
      </c>
      <c r="AD202" s="18" t="s">
        <v>1937</v>
      </c>
      <c r="AE202" s="18" t="s">
        <v>1559</v>
      </c>
      <c r="BK202" s="18" t="s">
        <v>3820</v>
      </c>
      <c r="BL202" s="18">
        <v>6</v>
      </c>
    </row>
    <row r="203" spans="15:64">
      <c r="AA203" s="18" t="s">
        <v>525</v>
      </c>
      <c r="AB203" s="18"/>
      <c r="AC203" s="18" t="s">
        <v>1391</v>
      </c>
      <c r="AD203" s="18" t="s">
        <v>1938</v>
      </c>
      <c r="AE203" s="18" t="s">
        <v>2253</v>
      </c>
      <c r="BK203" s="18" t="s">
        <v>3813</v>
      </c>
      <c r="BL203" s="18">
        <v>6</v>
      </c>
    </row>
    <row r="204" spans="15:64">
      <c r="AA204" s="18" t="s">
        <v>526</v>
      </c>
      <c r="AB204" s="18"/>
      <c r="AC204" s="18" t="s">
        <v>1392</v>
      </c>
      <c r="AD204" s="18" t="s">
        <v>1939</v>
      </c>
      <c r="AE204" s="18" t="s">
        <v>2254</v>
      </c>
      <c r="BK204" s="18" t="s">
        <v>3814</v>
      </c>
      <c r="BL204" s="18">
        <v>6</v>
      </c>
    </row>
    <row r="205" spans="15:64">
      <c r="AA205" s="18" t="s">
        <v>527</v>
      </c>
      <c r="AB205" s="18"/>
      <c r="AC205" s="18" t="s">
        <v>1393</v>
      </c>
      <c r="AD205" s="18" t="s">
        <v>1940</v>
      </c>
      <c r="AE205" s="18" t="s">
        <v>2255</v>
      </c>
      <c r="BK205" s="18" t="s">
        <v>3815</v>
      </c>
      <c r="BL205" s="18">
        <v>6</v>
      </c>
    </row>
    <row r="206" spans="15:64">
      <c r="AA206" s="18" t="s">
        <v>528</v>
      </c>
      <c r="AB206" s="18"/>
      <c r="AC206" s="18" t="s">
        <v>1394</v>
      </c>
      <c r="AD206" s="18" t="s">
        <v>1941</v>
      </c>
      <c r="AE206" s="18" t="s">
        <v>2256</v>
      </c>
      <c r="BK206" s="18" t="s">
        <v>3819</v>
      </c>
      <c r="BL206" s="18">
        <v>6</v>
      </c>
    </row>
    <row r="207" spans="15:64">
      <c r="AA207" s="18" t="s">
        <v>529</v>
      </c>
      <c r="AB207" s="18"/>
      <c r="AC207" s="18" t="s">
        <v>1396</v>
      </c>
      <c r="AD207" s="18" t="s">
        <v>1942</v>
      </c>
      <c r="AE207" s="18" t="s">
        <v>2257</v>
      </c>
      <c r="BK207" s="18" t="s">
        <v>3816</v>
      </c>
      <c r="BL207" s="18">
        <v>6</v>
      </c>
    </row>
    <row r="208" spans="15:64">
      <c r="AA208" s="18" t="s">
        <v>530</v>
      </c>
      <c r="AB208" s="18"/>
      <c r="AC208" s="18" t="s">
        <v>1397</v>
      </c>
      <c r="AD208" s="18" t="s">
        <v>1943</v>
      </c>
      <c r="AE208" s="18" t="s">
        <v>2258</v>
      </c>
      <c r="BK208" s="18" t="s">
        <v>3845</v>
      </c>
      <c r="BL208" s="18">
        <v>6</v>
      </c>
    </row>
    <row r="209" spans="27:64">
      <c r="AA209" s="18" t="s">
        <v>649</v>
      </c>
      <c r="AB209" s="18"/>
      <c r="AC209" s="18" t="s">
        <v>1398</v>
      </c>
      <c r="AD209" s="18" t="s">
        <v>1944</v>
      </c>
      <c r="AE209" s="18" t="s">
        <v>2259</v>
      </c>
      <c r="BK209" s="18" t="s">
        <v>3844</v>
      </c>
      <c r="BL209" s="18">
        <v>6</v>
      </c>
    </row>
    <row r="210" spans="27:64">
      <c r="AA210" s="18" t="s">
        <v>531</v>
      </c>
      <c r="AB210" s="18"/>
      <c r="AC210" s="18" t="s">
        <v>1395</v>
      </c>
      <c r="AD210" s="18" t="s">
        <v>1945</v>
      </c>
      <c r="AE210" s="18" t="s">
        <v>2260</v>
      </c>
      <c r="BK210" s="18" t="s">
        <v>3848</v>
      </c>
      <c r="BL210" s="18">
        <v>6</v>
      </c>
    </row>
    <row r="211" spans="27:64">
      <c r="AA211" s="18" t="s">
        <v>632</v>
      </c>
      <c r="AB211" s="18"/>
      <c r="AC211" s="18" t="s">
        <v>1399</v>
      </c>
      <c r="AD211" s="18" t="s">
        <v>1946</v>
      </c>
      <c r="AE211" s="18" t="s">
        <v>2261</v>
      </c>
      <c r="BK211" s="18" t="s">
        <v>3847</v>
      </c>
      <c r="BL211" s="18">
        <v>6</v>
      </c>
    </row>
    <row r="212" spans="27:64">
      <c r="AA212" s="18" t="s">
        <v>532</v>
      </c>
      <c r="AB212" s="18"/>
      <c r="AC212" s="18" t="s">
        <v>1400</v>
      </c>
      <c r="AD212" s="18" t="s">
        <v>1947</v>
      </c>
      <c r="AE212" s="18" t="s">
        <v>2262</v>
      </c>
      <c r="BK212" s="18" t="s">
        <v>3840</v>
      </c>
      <c r="BL212" s="18">
        <v>6</v>
      </c>
    </row>
    <row r="213" spans="27:64">
      <c r="AA213" s="18" t="s">
        <v>633</v>
      </c>
      <c r="AB213" s="18"/>
      <c r="AC213" s="18" t="s">
        <v>1401</v>
      </c>
      <c r="AD213" s="18" t="s">
        <v>1948</v>
      </c>
      <c r="AE213" s="18" t="s">
        <v>2263</v>
      </c>
      <c r="BK213" s="18" t="s">
        <v>3841</v>
      </c>
      <c r="BL213" s="18">
        <v>6</v>
      </c>
    </row>
    <row r="214" spans="27:64">
      <c r="AA214" s="18" t="s">
        <v>533</v>
      </c>
      <c r="AB214" s="18"/>
      <c r="AC214" s="18" t="s">
        <v>1402</v>
      </c>
      <c r="AD214" s="18" t="s">
        <v>1949</v>
      </c>
      <c r="AE214" s="18" t="s">
        <v>1601</v>
      </c>
      <c r="BK214" s="18" t="s">
        <v>3842</v>
      </c>
      <c r="BL214" s="18">
        <v>6</v>
      </c>
    </row>
    <row r="215" spans="27:64">
      <c r="AA215" s="18" t="s">
        <v>634</v>
      </c>
      <c r="AB215" s="18"/>
      <c r="AC215" s="18" t="s">
        <v>1403</v>
      </c>
      <c r="AD215" s="18" t="s">
        <v>1950</v>
      </c>
      <c r="AE215" s="18" t="s">
        <v>2264</v>
      </c>
      <c r="BK215" s="18" t="s">
        <v>3846</v>
      </c>
      <c r="BL215" s="18">
        <v>6</v>
      </c>
    </row>
    <row r="216" spans="27:64">
      <c r="AA216" s="18" t="s">
        <v>534</v>
      </c>
      <c r="AB216" s="18"/>
      <c r="AC216" s="18" t="s">
        <v>1404</v>
      </c>
      <c r="AD216" s="18" t="s">
        <v>1951</v>
      </c>
      <c r="AE216" s="18" t="s">
        <v>2265</v>
      </c>
      <c r="BK216" s="18" t="s">
        <v>3843</v>
      </c>
      <c r="BL216" s="18">
        <v>6</v>
      </c>
    </row>
    <row r="217" spans="27:64">
      <c r="AA217" s="18" t="s">
        <v>535</v>
      </c>
      <c r="AB217" s="18"/>
      <c r="AC217" s="18" t="s">
        <v>1405</v>
      </c>
      <c r="AD217" s="18" t="s">
        <v>1952</v>
      </c>
      <c r="AE217" s="18" t="s">
        <v>2266</v>
      </c>
      <c r="BK217" s="18" t="s">
        <v>3773</v>
      </c>
      <c r="BL217" s="18">
        <v>6</v>
      </c>
    </row>
    <row r="218" spans="27:64">
      <c r="AA218" s="18" t="s">
        <v>536</v>
      </c>
      <c r="AB218" s="18"/>
      <c r="AC218" s="18" t="s">
        <v>1406</v>
      </c>
      <c r="AD218" s="18" t="s">
        <v>1953</v>
      </c>
      <c r="AE218" s="18" t="s">
        <v>2267</v>
      </c>
      <c r="BK218" s="18" t="s">
        <v>3772</v>
      </c>
      <c r="BL218" s="18">
        <v>6</v>
      </c>
    </row>
    <row r="219" spans="27:64">
      <c r="AA219" s="18" t="s">
        <v>537</v>
      </c>
      <c r="AB219" s="18"/>
      <c r="AC219" s="18" t="s">
        <v>1407</v>
      </c>
      <c r="AD219" s="18" t="s">
        <v>1954</v>
      </c>
      <c r="AE219" s="18" t="s">
        <v>2268</v>
      </c>
      <c r="BK219" s="18" t="s">
        <v>3776</v>
      </c>
      <c r="BL219" s="18">
        <v>6</v>
      </c>
    </row>
    <row r="220" spans="27:64">
      <c r="AA220" s="18" t="s">
        <v>538</v>
      </c>
      <c r="AB220" s="18"/>
      <c r="AC220" s="18" t="s">
        <v>1408</v>
      </c>
      <c r="AD220" s="18" t="s">
        <v>1955</v>
      </c>
      <c r="AE220" s="18" t="s">
        <v>2269</v>
      </c>
      <c r="BK220" s="18" t="s">
        <v>3775</v>
      </c>
      <c r="BL220" s="18">
        <v>6</v>
      </c>
    </row>
    <row r="221" spans="27:64">
      <c r="AA221" s="18" t="s">
        <v>635</v>
      </c>
      <c r="AB221" s="18"/>
      <c r="AC221" s="18" t="s">
        <v>1409</v>
      </c>
      <c r="AD221" s="18" t="s">
        <v>1956</v>
      </c>
      <c r="AE221" s="18" t="s">
        <v>2270</v>
      </c>
      <c r="BK221" s="18" t="s">
        <v>3768</v>
      </c>
      <c r="BL221" s="18">
        <v>6</v>
      </c>
    </row>
    <row r="222" spans="27:64">
      <c r="AA222" s="18" t="s">
        <v>539</v>
      </c>
      <c r="AB222" s="18"/>
      <c r="AC222" s="18" t="s">
        <v>1410</v>
      </c>
      <c r="AD222" s="18" t="s">
        <v>1957</v>
      </c>
      <c r="AE222" s="18" t="s">
        <v>2271</v>
      </c>
      <c r="BK222" s="18" t="s">
        <v>3769</v>
      </c>
      <c r="BL222" s="18">
        <v>6</v>
      </c>
    </row>
    <row r="223" spans="27:64">
      <c r="AA223" s="18" t="s">
        <v>540</v>
      </c>
      <c r="AB223" s="18"/>
      <c r="AC223" s="18" t="s">
        <v>1411</v>
      </c>
      <c r="AD223" s="18" t="s">
        <v>1958</v>
      </c>
      <c r="AE223" s="18" t="s">
        <v>2272</v>
      </c>
      <c r="BK223" s="18" t="s">
        <v>3770</v>
      </c>
      <c r="BL223" s="18">
        <v>6</v>
      </c>
    </row>
    <row r="224" spans="27:64">
      <c r="AA224" s="18" t="s">
        <v>541</v>
      </c>
      <c r="AB224" s="18"/>
      <c r="AC224" s="18" t="s">
        <v>1412</v>
      </c>
      <c r="AD224" s="18" t="s">
        <v>1959</v>
      </c>
      <c r="AE224" s="18" t="s">
        <v>2273</v>
      </c>
      <c r="BK224" s="18" t="s">
        <v>3774</v>
      </c>
      <c r="BL224" s="18">
        <v>6</v>
      </c>
    </row>
    <row r="225" spans="27:64">
      <c r="AA225" s="18" t="s">
        <v>542</v>
      </c>
      <c r="AB225" s="18"/>
      <c r="AC225" s="18" t="s">
        <v>1413</v>
      </c>
      <c r="AD225" s="18" t="s">
        <v>1960</v>
      </c>
      <c r="AE225" s="18" t="s">
        <v>2274</v>
      </c>
      <c r="BK225" s="18" t="s">
        <v>3771</v>
      </c>
      <c r="BL225" s="18">
        <v>6</v>
      </c>
    </row>
    <row r="226" spans="27:64">
      <c r="AA226" s="18" t="s">
        <v>543</v>
      </c>
      <c r="AB226" s="18"/>
      <c r="AC226" s="18" t="s">
        <v>1414</v>
      </c>
      <c r="AD226" s="18" t="s">
        <v>1961</v>
      </c>
      <c r="AE226" s="18" t="s">
        <v>2275</v>
      </c>
      <c r="BK226" s="18" t="s">
        <v>3827</v>
      </c>
      <c r="BL226" s="18">
        <v>6</v>
      </c>
    </row>
    <row r="227" spans="27:64">
      <c r="AA227" s="18" t="s">
        <v>544</v>
      </c>
      <c r="AB227" s="18"/>
      <c r="AC227" s="18" t="s">
        <v>1415</v>
      </c>
      <c r="AD227" s="18" t="s">
        <v>1962</v>
      </c>
      <c r="AE227" s="18" t="s">
        <v>2276</v>
      </c>
      <c r="BK227" s="18" t="s">
        <v>3826</v>
      </c>
      <c r="BL227" s="18">
        <v>6</v>
      </c>
    </row>
    <row r="228" spans="27:64">
      <c r="AA228" s="18" t="s">
        <v>636</v>
      </c>
      <c r="AB228" s="18"/>
      <c r="AC228" s="18" t="s">
        <v>1416</v>
      </c>
      <c r="AD228" s="18" t="s">
        <v>1963</v>
      </c>
      <c r="AE228" s="18" t="s">
        <v>2277</v>
      </c>
      <c r="BK228" s="18" t="s">
        <v>3830</v>
      </c>
      <c r="BL228" s="18">
        <v>6</v>
      </c>
    </row>
    <row r="229" spans="27:64">
      <c r="AA229" s="18" t="s">
        <v>545</v>
      </c>
      <c r="AB229" s="18"/>
      <c r="AC229" s="18" t="s">
        <v>1417</v>
      </c>
      <c r="AD229" s="18" t="s">
        <v>1964</v>
      </c>
      <c r="AE229" s="18" t="s">
        <v>2278</v>
      </c>
      <c r="BK229" s="18" t="s">
        <v>3829</v>
      </c>
      <c r="BL229" s="18">
        <v>6</v>
      </c>
    </row>
    <row r="230" spans="27:64">
      <c r="AA230" s="18" t="s">
        <v>546</v>
      </c>
      <c r="AB230" s="18"/>
      <c r="AC230" s="18" t="s">
        <v>1418</v>
      </c>
      <c r="AD230" s="18" t="s">
        <v>1965</v>
      </c>
      <c r="AE230" s="18" t="s">
        <v>2279</v>
      </c>
      <c r="BK230" s="18" t="s">
        <v>3822</v>
      </c>
      <c r="BL230" s="18">
        <v>6</v>
      </c>
    </row>
    <row r="231" spans="27:64">
      <c r="AA231" s="18" t="s">
        <v>637</v>
      </c>
      <c r="AB231" s="18"/>
      <c r="AC231" s="18" t="s">
        <v>1419</v>
      </c>
      <c r="AD231" s="18" t="s">
        <v>1966</v>
      </c>
      <c r="AE231" s="18" t="s">
        <v>2280</v>
      </c>
      <c r="BK231" s="18" t="s">
        <v>3823</v>
      </c>
      <c r="BL231" s="18">
        <v>6</v>
      </c>
    </row>
    <row r="232" spans="27:64">
      <c r="AA232" s="18" t="s">
        <v>547</v>
      </c>
      <c r="AB232" s="18"/>
      <c r="AC232" s="18" t="s">
        <v>1420</v>
      </c>
      <c r="AD232" s="18" t="s">
        <v>1967</v>
      </c>
      <c r="AE232" s="18" t="s">
        <v>2281</v>
      </c>
      <c r="BK232" s="18" t="s">
        <v>3824</v>
      </c>
      <c r="BL232" s="18">
        <v>6</v>
      </c>
    </row>
    <row r="233" spans="27:64">
      <c r="AA233" s="18" t="s">
        <v>548</v>
      </c>
      <c r="AB233" s="18"/>
      <c r="AC233" s="18" t="s">
        <v>1421</v>
      </c>
      <c r="AD233" s="18" t="s">
        <v>1968</v>
      </c>
      <c r="AE233" s="18" t="s">
        <v>2282</v>
      </c>
      <c r="BK233" s="18" t="s">
        <v>3828</v>
      </c>
      <c r="BL233" s="18">
        <v>6</v>
      </c>
    </row>
    <row r="234" spans="27:64">
      <c r="AA234" s="18" t="s">
        <v>549</v>
      </c>
      <c r="AB234" s="18"/>
      <c r="AC234" s="18" t="s">
        <v>1422</v>
      </c>
      <c r="AD234" s="18" t="s">
        <v>1969</v>
      </c>
      <c r="AE234" s="18" t="s">
        <v>2283</v>
      </c>
      <c r="BK234" s="18" t="s">
        <v>3825</v>
      </c>
      <c r="BL234" s="18">
        <v>6</v>
      </c>
    </row>
    <row r="235" spans="27:64">
      <c r="AA235" s="18" t="s">
        <v>550</v>
      </c>
      <c r="AB235" s="18"/>
      <c r="AC235" s="18" t="s">
        <v>1423</v>
      </c>
      <c r="AD235" s="18" t="s">
        <v>1970</v>
      </c>
      <c r="AE235" s="18" t="s">
        <v>2284</v>
      </c>
      <c r="BK235" s="18" t="s">
        <v>3791</v>
      </c>
      <c r="BL235" s="18">
        <v>6</v>
      </c>
    </row>
    <row r="236" spans="27:64">
      <c r="AA236" s="18" t="s">
        <v>551</v>
      </c>
      <c r="AB236" s="18"/>
      <c r="AC236" s="18" t="s">
        <v>1424</v>
      </c>
      <c r="AD236" s="18" t="s">
        <v>1971</v>
      </c>
      <c r="AE236" s="18" t="s">
        <v>2285</v>
      </c>
      <c r="BK236" s="18" t="s">
        <v>3790</v>
      </c>
      <c r="BL236" s="18">
        <v>6</v>
      </c>
    </row>
    <row r="237" spans="27:64">
      <c r="AA237" s="18" t="s">
        <v>552</v>
      </c>
      <c r="AB237" s="18"/>
      <c r="AC237" s="18" t="s">
        <v>1425</v>
      </c>
      <c r="AD237" s="18" t="s">
        <v>1972</v>
      </c>
      <c r="AE237" s="18" t="s">
        <v>2286</v>
      </c>
      <c r="BK237" s="18" t="s">
        <v>3794</v>
      </c>
      <c r="BL237" s="18">
        <v>6</v>
      </c>
    </row>
    <row r="238" spans="27:64">
      <c r="AA238" s="18" t="s">
        <v>553</v>
      </c>
      <c r="AB238" s="18"/>
      <c r="AC238" s="18" t="s">
        <v>1426</v>
      </c>
      <c r="AD238" s="18" t="s">
        <v>1973</v>
      </c>
      <c r="AE238" s="18" t="s">
        <v>2287</v>
      </c>
      <c r="BK238" s="18" t="s">
        <v>3793</v>
      </c>
      <c r="BL238" s="18">
        <v>6</v>
      </c>
    </row>
    <row r="239" spans="27:64">
      <c r="AA239" s="18" t="s">
        <v>554</v>
      </c>
      <c r="AB239" s="18"/>
      <c r="AC239" s="18" t="s">
        <v>1427</v>
      </c>
      <c r="AD239" s="18" t="s">
        <v>1974</v>
      </c>
      <c r="AE239" s="18" t="s">
        <v>2288</v>
      </c>
      <c r="BK239" s="18" t="s">
        <v>3786</v>
      </c>
      <c r="BL239" s="18">
        <v>6</v>
      </c>
    </row>
    <row r="240" spans="27:64">
      <c r="AA240" s="18" t="s">
        <v>555</v>
      </c>
      <c r="AB240" s="18"/>
      <c r="AC240" s="18" t="s">
        <v>1428</v>
      </c>
      <c r="AD240" s="18" t="s">
        <v>1975</v>
      </c>
      <c r="AE240" s="18" t="s">
        <v>2289</v>
      </c>
      <c r="BK240" s="18" t="s">
        <v>3787</v>
      </c>
      <c r="BL240" s="18">
        <v>6</v>
      </c>
    </row>
    <row r="241" spans="27:64">
      <c r="AA241" s="18" t="s">
        <v>556</v>
      </c>
      <c r="AB241" s="18"/>
      <c r="AC241" s="18" t="s">
        <v>1429</v>
      </c>
      <c r="AD241" s="18" t="s">
        <v>1976</v>
      </c>
      <c r="AE241" s="18" t="s">
        <v>2291</v>
      </c>
      <c r="BK241" s="18" t="s">
        <v>3788</v>
      </c>
      <c r="BL241" s="18">
        <v>6</v>
      </c>
    </row>
    <row r="242" spans="27:64">
      <c r="AA242" s="18" t="s">
        <v>557</v>
      </c>
      <c r="AB242" s="18"/>
      <c r="AC242" s="18" t="s">
        <v>1430</v>
      </c>
      <c r="AD242" s="18" t="s">
        <v>1977</v>
      </c>
      <c r="AE242" s="18" t="s">
        <v>2290</v>
      </c>
      <c r="BK242" s="18" t="s">
        <v>3792</v>
      </c>
      <c r="BL242" s="18">
        <v>6</v>
      </c>
    </row>
    <row r="243" spans="27:64">
      <c r="AA243" s="18" t="s">
        <v>558</v>
      </c>
      <c r="AB243" s="18"/>
      <c r="AC243" s="18" t="s">
        <v>1431</v>
      </c>
      <c r="AD243" s="18" t="s">
        <v>1978</v>
      </c>
      <c r="AE243" s="18" t="s">
        <v>2292</v>
      </c>
      <c r="BK243" s="18" t="s">
        <v>3789</v>
      </c>
      <c r="BL243" s="18">
        <v>6</v>
      </c>
    </row>
    <row r="244" spans="27:64">
      <c r="AA244" s="18" t="s">
        <v>559</v>
      </c>
      <c r="AB244" s="18"/>
      <c r="AC244" s="18" t="s">
        <v>1432</v>
      </c>
      <c r="AD244" s="18" t="s">
        <v>1979</v>
      </c>
      <c r="AE244" s="18" t="s">
        <v>2294</v>
      </c>
      <c r="BK244" s="18" t="s">
        <v>3800</v>
      </c>
      <c r="BL244" s="18">
        <v>6</v>
      </c>
    </row>
    <row r="245" spans="27:64">
      <c r="AA245" s="18" t="s">
        <v>650</v>
      </c>
      <c r="AB245" s="18"/>
      <c r="AC245" s="18" t="s">
        <v>1433</v>
      </c>
      <c r="AD245" s="18" t="s">
        <v>1980</v>
      </c>
      <c r="AE245" s="18" t="s">
        <v>2295</v>
      </c>
      <c r="BK245" s="18" t="s">
        <v>3799</v>
      </c>
      <c r="BL245" s="18">
        <v>6</v>
      </c>
    </row>
    <row r="246" spans="27:64">
      <c r="AA246" s="18" t="s">
        <v>560</v>
      </c>
      <c r="AB246" s="18"/>
      <c r="AC246" s="18" t="s">
        <v>1434</v>
      </c>
      <c r="AD246" s="18" t="s">
        <v>1981</v>
      </c>
      <c r="AE246" s="18" t="s">
        <v>2296</v>
      </c>
      <c r="BK246" s="18" t="s">
        <v>3803</v>
      </c>
      <c r="BL246" s="18">
        <v>6</v>
      </c>
    </row>
    <row r="247" spans="27:64">
      <c r="AA247" s="18" t="s">
        <v>561</v>
      </c>
      <c r="AB247" s="18"/>
      <c r="AC247" s="18" t="s">
        <v>1435</v>
      </c>
      <c r="AD247" s="18" t="s">
        <v>1982</v>
      </c>
      <c r="AE247" s="18" t="s">
        <v>2293</v>
      </c>
      <c r="BK247" s="18" t="s">
        <v>3802</v>
      </c>
      <c r="BL247" s="18">
        <v>6</v>
      </c>
    </row>
    <row r="248" spans="27:64">
      <c r="AA248" s="18" t="s">
        <v>562</v>
      </c>
      <c r="AB248" s="18"/>
      <c r="AC248" s="18" t="s">
        <v>1436</v>
      </c>
      <c r="AD248" s="18" t="s">
        <v>1983</v>
      </c>
      <c r="AE248" s="18" t="s">
        <v>2297</v>
      </c>
      <c r="BK248" s="18" t="s">
        <v>3795</v>
      </c>
      <c r="BL248" s="18">
        <v>6</v>
      </c>
    </row>
    <row r="249" spans="27:64">
      <c r="AA249" s="18" t="s">
        <v>563</v>
      </c>
      <c r="AB249" s="18"/>
      <c r="AC249" s="18" t="s">
        <v>1437</v>
      </c>
      <c r="AD249" s="18" t="s">
        <v>1984</v>
      </c>
      <c r="AE249" s="18" t="s">
        <v>2298</v>
      </c>
      <c r="BK249" s="18" t="s">
        <v>3796</v>
      </c>
      <c r="BL249" s="18">
        <v>6</v>
      </c>
    </row>
    <row r="250" spans="27:64">
      <c r="AA250" s="18" t="s">
        <v>564</v>
      </c>
      <c r="AB250" s="18"/>
      <c r="AC250" s="18" t="s">
        <v>1438</v>
      </c>
      <c r="AD250" s="18" t="s">
        <v>1985</v>
      </c>
      <c r="AE250" s="18" t="s">
        <v>2299</v>
      </c>
      <c r="BK250" s="18" t="s">
        <v>3797</v>
      </c>
      <c r="BL250" s="18">
        <v>6</v>
      </c>
    </row>
    <row r="251" spans="27:64">
      <c r="AA251" s="18" t="s">
        <v>565</v>
      </c>
      <c r="AB251" s="18"/>
      <c r="AC251" s="18" t="s">
        <v>1439</v>
      </c>
      <c r="AD251" s="18" t="s">
        <v>1986</v>
      </c>
      <c r="AE251" s="18" t="s">
        <v>2300</v>
      </c>
      <c r="BK251" s="18" t="s">
        <v>3801</v>
      </c>
      <c r="BL251" s="18">
        <v>6</v>
      </c>
    </row>
    <row r="252" spans="27:64">
      <c r="AA252" s="18" t="s">
        <v>651</v>
      </c>
      <c r="AB252" s="18"/>
      <c r="AC252" s="18" t="s">
        <v>1440</v>
      </c>
      <c r="AD252" s="18" t="s">
        <v>1987</v>
      </c>
      <c r="AE252" s="18" t="s">
        <v>2301</v>
      </c>
      <c r="BK252" s="18" t="s">
        <v>3798</v>
      </c>
      <c r="BL252" s="18">
        <v>6</v>
      </c>
    </row>
    <row r="253" spans="27:64">
      <c r="AA253" s="18" t="s">
        <v>566</v>
      </c>
      <c r="AB253" s="18"/>
      <c r="AC253" s="18" t="s">
        <v>1441</v>
      </c>
      <c r="AD253" s="18" t="s">
        <v>1988</v>
      </c>
      <c r="AE253" s="18" t="s">
        <v>2302</v>
      </c>
      <c r="BK253" s="18" t="s">
        <v>3854</v>
      </c>
      <c r="BL253" s="18">
        <v>6</v>
      </c>
    </row>
    <row r="254" spans="27:64">
      <c r="AA254" s="18" t="s">
        <v>567</v>
      </c>
      <c r="AB254" s="18"/>
      <c r="AC254" s="18" t="s">
        <v>1442</v>
      </c>
      <c r="AD254" s="18" t="s">
        <v>1628</v>
      </c>
      <c r="AE254" s="18" t="s">
        <v>2303</v>
      </c>
      <c r="BK254" s="18" t="s">
        <v>3853</v>
      </c>
      <c r="BL254" s="18">
        <v>6</v>
      </c>
    </row>
    <row r="255" spans="27:64">
      <c r="AA255" s="18" t="s">
        <v>568</v>
      </c>
      <c r="AB255" s="18"/>
      <c r="AC255" s="18" t="s">
        <v>1443</v>
      </c>
      <c r="AD255" s="18" t="s">
        <v>1989</v>
      </c>
      <c r="AE255" s="18" t="s">
        <v>2304</v>
      </c>
      <c r="BK255" s="18" t="s">
        <v>3857</v>
      </c>
      <c r="BL255" s="18">
        <v>6</v>
      </c>
    </row>
    <row r="256" spans="27:64">
      <c r="AA256" s="18" t="s">
        <v>569</v>
      </c>
      <c r="AB256" s="18"/>
      <c r="AC256" s="18" t="s">
        <v>1444</v>
      </c>
      <c r="AD256" s="18" t="s">
        <v>1990</v>
      </c>
      <c r="AE256" s="18" t="s">
        <v>2305</v>
      </c>
      <c r="BK256" s="18" t="s">
        <v>3856</v>
      </c>
      <c r="BL256" s="18">
        <v>6</v>
      </c>
    </row>
    <row r="257" spans="27:64">
      <c r="AA257" s="18" t="s">
        <v>570</v>
      </c>
      <c r="AB257" s="18"/>
      <c r="AC257" s="18" t="s">
        <v>1445</v>
      </c>
      <c r="AD257" s="18" t="s">
        <v>1991</v>
      </c>
      <c r="AE257" s="18" t="s">
        <v>2306</v>
      </c>
      <c r="BK257" s="18" t="s">
        <v>3849</v>
      </c>
      <c r="BL257" s="18">
        <v>6</v>
      </c>
    </row>
    <row r="258" spans="27:64">
      <c r="AA258" s="18" t="s">
        <v>571</v>
      </c>
      <c r="AB258" s="18"/>
      <c r="AC258" s="18" t="s">
        <v>1446</v>
      </c>
      <c r="AD258" s="18" t="s">
        <v>1992</v>
      </c>
      <c r="AE258" s="18" t="s">
        <v>2307</v>
      </c>
      <c r="BK258" s="18" t="s">
        <v>3850</v>
      </c>
      <c r="BL258" s="18">
        <v>6</v>
      </c>
    </row>
    <row r="259" spans="27:64">
      <c r="AA259" s="18" t="s">
        <v>572</v>
      </c>
      <c r="AB259" s="18"/>
      <c r="AC259" s="18" t="s">
        <v>1447</v>
      </c>
      <c r="AD259" s="18" t="s">
        <v>1993</v>
      </c>
      <c r="AE259" s="18" t="s">
        <v>2308</v>
      </c>
      <c r="BK259" s="18" t="s">
        <v>3851</v>
      </c>
      <c r="BL259" s="18">
        <v>6</v>
      </c>
    </row>
    <row r="260" spans="27:64">
      <c r="AA260" s="18" t="s">
        <v>573</v>
      </c>
      <c r="AB260" s="18"/>
      <c r="AC260" s="18" t="s">
        <v>1448</v>
      </c>
      <c r="AD260" s="18" t="s">
        <v>1994</v>
      </c>
      <c r="AE260" s="18" t="s">
        <v>2309</v>
      </c>
      <c r="BK260" s="18" t="s">
        <v>3855</v>
      </c>
      <c r="BL260" s="18">
        <v>6</v>
      </c>
    </row>
    <row r="261" spans="27:64">
      <c r="AA261" s="18" t="s">
        <v>574</v>
      </c>
      <c r="AB261" s="18"/>
      <c r="AC261" s="18" t="s">
        <v>1449</v>
      </c>
      <c r="AD261" s="18" t="s">
        <v>1995</v>
      </c>
      <c r="AE261" s="18" t="s">
        <v>2310</v>
      </c>
      <c r="BK261" s="18" t="s">
        <v>3852</v>
      </c>
      <c r="BL261" s="18">
        <v>6</v>
      </c>
    </row>
    <row r="262" spans="27:64">
      <c r="AA262" s="18" t="s">
        <v>575</v>
      </c>
      <c r="AB262" s="18"/>
      <c r="AC262" s="18" t="s">
        <v>1450</v>
      </c>
      <c r="AD262" s="18" t="s">
        <v>1996</v>
      </c>
      <c r="AE262" s="18" t="s">
        <v>2311</v>
      </c>
      <c r="BK262" s="18" t="s">
        <v>3872</v>
      </c>
      <c r="BL262" s="18">
        <v>6</v>
      </c>
    </row>
    <row r="263" spans="27:64">
      <c r="AA263" s="18" t="s">
        <v>576</v>
      </c>
      <c r="AB263" s="18"/>
      <c r="AC263" s="18" t="s">
        <v>1451</v>
      </c>
      <c r="AD263" s="18" t="s">
        <v>1997</v>
      </c>
      <c r="AE263" s="18" t="s">
        <v>2312</v>
      </c>
      <c r="BK263" s="18" t="s">
        <v>3871</v>
      </c>
      <c r="BL263" s="18">
        <v>6</v>
      </c>
    </row>
    <row r="264" spans="27:64">
      <c r="AA264" s="18" t="s">
        <v>577</v>
      </c>
      <c r="AB264" s="18"/>
      <c r="AC264" s="18" t="s">
        <v>1452</v>
      </c>
      <c r="AD264" s="18" t="s">
        <v>1999</v>
      </c>
      <c r="AE264" s="18" t="s">
        <v>2313</v>
      </c>
      <c r="BK264" s="18" t="s">
        <v>3875</v>
      </c>
      <c r="BL264" s="18">
        <v>6</v>
      </c>
    </row>
    <row r="265" spans="27:64">
      <c r="AA265" s="18" t="s">
        <v>578</v>
      </c>
      <c r="AB265" s="18"/>
      <c r="AC265" s="18" t="s">
        <v>1453</v>
      </c>
      <c r="AD265" s="18" t="s">
        <v>1998</v>
      </c>
      <c r="AE265" s="18" t="s">
        <v>2314</v>
      </c>
      <c r="BK265" s="18" t="s">
        <v>3874</v>
      </c>
      <c r="BL265" s="18">
        <v>6</v>
      </c>
    </row>
    <row r="266" spans="27:64">
      <c r="AA266" s="18" t="s">
        <v>579</v>
      </c>
      <c r="AB266" s="18"/>
      <c r="AC266" s="18" t="s">
        <v>1454</v>
      </c>
      <c r="AD266" s="18" t="s">
        <v>1998</v>
      </c>
      <c r="AE266" s="18" t="s">
        <v>1669</v>
      </c>
      <c r="BK266" s="18" t="s">
        <v>3867</v>
      </c>
      <c r="BL266" s="18">
        <v>6</v>
      </c>
    </row>
    <row r="267" spans="27:64">
      <c r="AA267" s="18" t="s">
        <v>580</v>
      </c>
      <c r="AB267" s="18"/>
      <c r="AC267" s="18" t="s">
        <v>1455</v>
      </c>
      <c r="AD267" s="18" t="s">
        <v>2000</v>
      </c>
      <c r="AE267" s="18" t="s">
        <v>2315</v>
      </c>
      <c r="BK267" s="18" t="s">
        <v>3868</v>
      </c>
      <c r="BL267" s="18">
        <v>6</v>
      </c>
    </row>
    <row r="268" spans="27:64">
      <c r="AA268" s="18" t="s">
        <v>581</v>
      </c>
      <c r="AB268" s="18"/>
      <c r="AC268" s="18" t="s">
        <v>1456</v>
      </c>
      <c r="AD268" s="18" t="s">
        <v>2001</v>
      </c>
      <c r="AE268" s="18" t="s">
        <v>2316</v>
      </c>
      <c r="BK268" s="18" t="s">
        <v>3869</v>
      </c>
      <c r="BL268" s="18">
        <v>6</v>
      </c>
    </row>
    <row r="269" spans="27:64">
      <c r="AA269" s="18" t="s">
        <v>582</v>
      </c>
      <c r="AB269" s="18"/>
      <c r="AC269" s="18" t="s">
        <v>1457</v>
      </c>
      <c r="AD269" s="18" t="s">
        <v>2001</v>
      </c>
      <c r="AE269" s="18" t="s">
        <v>2317</v>
      </c>
      <c r="BK269" s="18" t="s">
        <v>3873</v>
      </c>
      <c r="BL269" s="18">
        <v>6</v>
      </c>
    </row>
    <row r="270" spans="27:64">
      <c r="AA270" s="18" t="s">
        <v>583</v>
      </c>
      <c r="AB270" s="18"/>
      <c r="AC270" s="18" t="s">
        <v>1458</v>
      </c>
      <c r="AD270" s="18" t="s">
        <v>2002</v>
      </c>
      <c r="AE270" s="18" t="s">
        <v>2318</v>
      </c>
      <c r="BK270" s="18" t="s">
        <v>3870</v>
      </c>
      <c r="BL270" s="18">
        <v>6</v>
      </c>
    </row>
    <row r="271" spans="27:64">
      <c r="AA271" s="18" t="s">
        <v>584</v>
      </c>
      <c r="AB271" s="18"/>
      <c r="AC271" s="18" t="s">
        <v>1459</v>
      </c>
      <c r="AD271" s="18" t="s">
        <v>2003</v>
      </c>
      <c r="AE271" s="18" t="s">
        <v>2319</v>
      </c>
      <c r="BK271" s="18" t="s">
        <v>3863</v>
      </c>
      <c r="BL271" s="18">
        <v>6</v>
      </c>
    </row>
    <row r="272" spans="27:64">
      <c r="AA272" s="18" t="s">
        <v>652</v>
      </c>
      <c r="AB272" s="18"/>
      <c r="AC272" s="18" t="s">
        <v>1460</v>
      </c>
      <c r="AD272" s="18" t="s">
        <v>2004</v>
      </c>
      <c r="AE272" s="18" t="s">
        <v>2320</v>
      </c>
      <c r="BK272" s="18" t="s">
        <v>3862</v>
      </c>
      <c r="BL272" s="18">
        <v>6</v>
      </c>
    </row>
    <row r="273" spans="27:64">
      <c r="AA273" s="18" t="s">
        <v>585</v>
      </c>
      <c r="AB273" s="18"/>
      <c r="AC273" s="18" t="s">
        <v>1461</v>
      </c>
      <c r="AD273" s="18" t="s">
        <v>2005</v>
      </c>
      <c r="AE273" s="18" t="s">
        <v>2321</v>
      </c>
      <c r="BK273" s="18" t="s">
        <v>3866</v>
      </c>
      <c r="BL273" s="18">
        <v>6</v>
      </c>
    </row>
    <row r="274" spans="27:64">
      <c r="AA274" s="18" t="s">
        <v>586</v>
      </c>
      <c r="AB274" s="18"/>
      <c r="AC274" s="18" t="s">
        <v>1461</v>
      </c>
      <c r="AD274" s="18" t="s">
        <v>2006</v>
      </c>
      <c r="AE274" s="18" t="s">
        <v>2322</v>
      </c>
      <c r="BK274" s="18" t="s">
        <v>3865</v>
      </c>
      <c r="BL274" s="18">
        <v>6</v>
      </c>
    </row>
    <row r="275" spans="27:64">
      <c r="AA275" s="18" t="s">
        <v>587</v>
      </c>
      <c r="AB275" s="18"/>
      <c r="AC275" s="18" t="s">
        <v>1462</v>
      </c>
      <c r="AD275" s="18" t="s">
        <v>2007</v>
      </c>
      <c r="AE275" s="18" t="s">
        <v>2322</v>
      </c>
      <c r="BK275" s="18" t="s">
        <v>3858</v>
      </c>
      <c r="BL275" s="18">
        <v>6</v>
      </c>
    </row>
    <row r="276" spans="27:64">
      <c r="AA276" s="18" t="s">
        <v>588</v>
      </c>
      <c r="AB276" s="18"/>
      <c r="AC276" s="18" t="s">
        <v>1463</v>
      </c>
      <c r="AD276" s="18" t="s">
        <v>2008</v>
      </c>
      <c r="AE276" s="18" t="s">
        <v>2323</v>
      </c>
      <c r="BK276" s="18" t="s">
        <v>3859</v>
      </c>
      <c r="BL276" s="18">
        <v>6</v>
      </c>
    </row>
    <row r="277" spans="27:64">
      <c r="AA277" s="18" t="s">
        <v>589</v>
      </c>
      <c r="AB277" s="18"/>
      <c r="AC277" s="18" t="s">
        <v>1464</v>
      </c>
      <c r="AD277" s="18" t="s">
        <v>2009</v>
      </c>
      <c r="AE277" s="18" t="s">
        <v>2324</v>
      </c>
      <c r="BK277" s="18" t="s">
        <v>3860</v>
      </c>
      <c r="BL277" s="18">
        <v>6</v>
      </c>
    </row>
    <row r="278" spans="27:64">
      <c r="AA278" s="18" t="s">
        <v>653</v>
      </c>
      <c r="AB278" s="18"/>
      <c r="AC278" s="18" t="s">
        <v>1465</v>
      </c>
      <c r="AD278" s="18" t="s">
        <v>2010</v>
      </c>
      <c r="AE278" s="18" t="s">
        <v>2325</v>
      </c>
      <c r="BK278" s="18" t="s">
        <v>3864</v>
      </c>
      <c r="BL278" s="18">
        <v>6</v>
      </c>
    </row>
    <row r="279" spans="27:64">
      <c r="AA279" s="18" t="s">
        <v>590</v>
      </c>
      <c r="AB279" s="18"/>
      <c r="AC279" s="18" t="s">
        <v>1466</v>
      </c>
      <c r="AD279" s="18" t="s">
        <v>2011</v>
      </c>
      <c r="AE279" s="18" t="s">
        <v>2326</v>
      </c>
      <c r="BK279" s="18" t="s">
        <v>3861</v>
      </c>
      <c r="BL279" s="18">
        <v>6</v>
      </c>
    </row>
    <row r="280" spans="27:64">
      <c r="AA280" s="18" t="s">
        <v>591</v>
      </c>
      <c r="AB280" s="18"/>
      <c r="AC280" s="18" t="s">
        <v>1467</v>
      </c>
      <c r="AD280" s="18" t="s">
        <v>2012</v>
      </c>
      <c r="AE280" s="18" t="s">
        <v>2327</v>
      </c>
      <c r="BK280" s="18" t="s">
        <v>3881</v>
      </c>
      <c r="BL280" s="18">
        <v>6</v>
      </c>
    </row>
    <row r="281" spans="27:64">
      <c r="AA281" s="18" t="s">
        <v>592</v>
      </c>
      <c r="AB281" s="18"/>
      <c r="AC281" s="18" t="s">
        <v>1468</v>
      </c>
      <c r="AD281" s="18" t="s">
        <v>2013</v>
      </c>
      <c r="AE281" s="18" t="s">
        <v>2328</v>
      </c>
      <c r="BK281" s="18" t="s">
        <v>3880</v>
      </c>
      <c r="BL281" s="18">
        <v>6</v>
      </c>
    </row>
    <row r="282" spans="27:64">
      <c r="AA282" s="18" t="s">
        <v>593</v>
      </c>
      <c r="AB282" s="18"/>
      <c r="AC282" s="18" t="s">
        <v>1469</v>
      </c>
      <c r="AD282" s="18" t="s">
        <v>2014</v>
      </c>
      <c r="AE282" s="18" t="s">
        <v>2329</v>
      </c>
      <c r="BK282" s="18" t="s">
        <v>3884</v>
      </c>
      <c r="BL282" s="18">
        <v>6</v>
      </c>
    </row>
    <row r="283" spans="27:64">
      <c r="AA283" s="18" t="s">
        <v>594</v>
      </c>
      <c r="AB283" s="18"/>
      <c r="AC283" s="18" t="s">
        <v>1470</v>
      </c>
      <c r="AD283" s="18" t="s">
        <v>2015</v>
      </c>
      <c r="AE283" s="18" t="s">
        <v>2330</v>
      </c>
      <c r="BK283" s="18" t="s">
        <v>3883</v>
      </c>
      <c r="BL283" s="18">
        <v>6</v>
      </c>
    </row>
    <row r="284" spans="27:64">
      <c r="AA284" s="18" t="s">
        <v>595</v>
      </c>
      <c r="AB284" s="18"/>
      <c r="AC284" s="18" t="s">
        <v>1471</v>
      </c>
      <c r="AD284" s="18" t="s">
        <v>2016</v>
      </c>
      <c r="AE284" s="18" t="s">
        <v>2331</v>
      </c>
      <c r="BK284" s="18" t="s">
        <v>3876</v>
      </c>
      <c r="BL284" s="18">
        <v>6</v>
      </c>
    </row>
    <row r="285" spans="27:64">
      <c r="AA285" s="18" t="s">
        <v>596</v>
      </c>
      <c r="AB285" s="18"/>
      <c r="AC285" s="18" t="s">
        <v>1472</v>
      </c>
      <c r="AD285" s="18" t="s">
        <v>2017</v>
      </c>
      <c r="AE285" s="18" t="s">
        <v>2332</v>
      </c>
      <c r="BK285" s="18" t="s">
        <v>3877</v>
      </c>
      <c r="BL285" s="18">
        <v>6</v>
      </c>
    </row>
    <row r="286" spans="27:64">
      <c r="AA286" s="18" t="s">
        <v>597</v>
      </c>
      <c r="AB286" s="18"/>
      <c r="AC286" s="18" t="s">
        <v>1473</v>
      </c>
      <c r="AD286" s="18" t="s">
        <v>2018</v>
      </c>
      <c r="AE286" s="18" t="s">
        <v>2333</v>
      </c>
      <c r="BK286" s="18" t="s">
        <v>3878</v>
      </c>
      <c r="BL286" s="18">
        <v>6</v>
      </c>
    </row>
    <row r="287" spans="27:64">
      <c r="AA287" s="18" t="s">
        <v>598</v>
      </c>
      <c r="AB287" s="18"/>
      <c r="AC287" s="18" t="s">
        <v>1474</v>
      </c>
      <c r="AD287" s="18" t="s">
        <v>2019</v>
      </c>
      <c r="AE287" s="18" t="s">
        <v>2334</v>
      </c>
      <c r="BK287" s="18" t="s">
        <v>3882</v>
      </c>
      <c r="BL287" s="18">
        <v>6</v>
      </c>
    </row>
    <row r="288" spans="27:64">
      <c r="AA288" s="18" t="s">
        <v>599</v>
      </c>
      <c r="AB288" s="18"/>
      <c r="AC288" s="18" t="s">
        <v>1475</v>
      </c>
      <c r="AD288" s="18" t="s">
        <v>2020</v>
      </c>
      <c r="AE288" s="18" t="s">
        <v>2335</v>
      </c>
      <c r="BK288" s="18" t="s">
        <v>3879</v>
      </c>
      <c r="BL288" s="18">
        <v>6</v>
      </c>
    </row>
    <row r="289" spans="27:64">
      <c r="AA289" s="18" t="s">
        <v>600</v>
      </c>
      <c r="AB289" s="18"/>
      <c r="AC289" s="18" t="s">
        <v>1476</v>
      </c>
      <c r="AD289" s="18" t="s">
        <v>2021</v>
      </c>
      <c r="AE289" s="18" t="s">
        <v>2336</v>
      </c>
      <c r="BK289" s="18" t="s">
        <v>3809</v>
      </c>
      <c r="BL289" s="18">
        <v>6</v>
      </c>
    </row>
    <row r="290" spans="27:64">
      <c r="AA290" s="18" t="s">
        <v>601</v>
      </c>
      <c r="AB290" s="18"/>
      <c r="AC290" s="18" t="s">
        <v>1477</v>
      </c>
      <c r="AD290" s="18" t="s">
        <v>2022</v>
      </c>
      <c r="AE290" s="18" t="s">
        <v>2337</v>
      </c>
      <c r="BK290" s="18" t="s">
        <v>3808</v>
      </c>
      <c r="BL290" s="18">
        <v>6</v>
      </c>
    </row>
    <row r="291" spans="27:64">
      <c r="AA291" s="18" t="s">
        <v>602</v>
      </c>
      <c r="AB291" s="18"/>
      <c r="AC291" s="18" t="s">
        <v>1478</v>
      </c>
      <c r="AD291" s="18" t="s">
        <v>2023</v>
      </c>
      <c r="AE291" s="18" t="s">
        <v>2338</v>
      </c>
      <c r="BK291" s="18" t="s">
        <v>3812</v>
      </c>
      <c r="BL291" s="18">
        <v>6</v>
      </c>
    </row>
    <row r="292" spans="27:64">
      <c r="AA292" s="18" t="s">
        <v>603</v>
      </c>
      <c r="AB292" s="18"/>
      <c r="AC292" s="18" t="s">
        <v>1479</v>
      </c>
      <c r="AD292" s="18" t="s">
        <v>2024</v>
      </c>
      <c r="AE292" s="18" t="s">
        <v>2339</v>
      </c>
      <c r="BK292" s="18" t="s">
        <v>3811</v>
      </c>
      <c r="BL292" s="18">
        <v>6</v>
      </c>
    </row>
    <row r="293" spans="27:64">
      <c r="AA293" s="18" t="s">
        <v>604</v>
      </c>
      <c r="AB293" s="18"/>
      <c r="AC293" s="18" t="s">
        <v>1480</v>
      </c>
      <c r="AD293" s="18" t="s">
        <v>1675</v>
      </c>
      <c r="AE293" s="18" t="s">
        <v>1732</v>
      </c>
      <c r="BK293" s="18" t="s">
        <v>3804</v>
      </c>
      <c r="BL293" s="18">
        <v>6</v>
      </c>
    </row>
    <row r="294" spans="27:64">
      <c r="AA294" s="18" t="s">
        <v>605</v>
      </c>
      <c r="AB294" s="18"/>
      <c r="AC294" s="18" t="s">
        <v>1481</v>
      </c>
      <c r="AD294" s="18" t="s">
        <v>2025</v>
      </c>
      <c r="AE294" s="18" t="s">
        <v>1733</v>
      </c>
      <c r="BK294" s="18" t="s">
        <v>3805</v>
      </c>
      <c r="BL294" s="18">
        <v>6</v>
      </c>
    </row>
    <row r="295" spans="27:64">
      <c r="AA295" s="18" t="s">
        <v>606</v>
      </c>
      <c r="AB295" s="18"/>
      <c r="AC295" s="18" t="s">
        <v>1482</v>
      </c>
      <c r="AD295" s="18" t="s">
        <v>2026</v>
      </c>
      <c r="AE295" s="18" t="s">
        <v>2340</v>
      </c>
      <c r="BK295" s="18" t="s">
        <v>3806</v>
      </c>
      <c r="BL295" s="18">
        <v>6</v>
      </c>
    </row>
    <row r="296" spans="27:64">
      <c r="AA296" s="18" t="s">
        <v>607</v>
      </c>
      <c r="AB296" s="18"/>
      <c r="AC296" s="18" t="s">
        <v>1483</v>
      </c>
      <c r="AD296" s="18" t="s">
        <v>2027</v>
      </c>
      <c r="AE296" s="18" t="s">
        <v>2341</v>
      </c>
      <c r="BK296" s="18" t="s">
        <v>3810</v>
      </c>
      <c r="BL296" s="18">
        <v>6</v>
      </c>
    </row>
    <row r="297" spans="27:64">
      <c r="AA297" s="18" t="s">
        <v>608</v>
      </c>
      <c r="AB297" s="18"/>
      <c r="AC297" s="18" t="s">
        <v>1484</v>
      </c>
      <c r="AD297" s="18" t="s">
        <v>2028</v>
      </c>
      <c r="AE297" s="18" t="s">
        <v>2342</v>
      </c>
      <c r="BK297" s="18" t="s">
        <v>3807</v>
      </c>
      <c r="BL297" s="18">
        <v>6</v>
      </c>
    </row>
    <row r="298" spans="27:64">
      <c r="AA298" s="18" t="s">
        <v>609</v>
      </c>
      <c r="AB298" s="18"/>
      <c r="AC298" s="18" t="s">
        <v>1485</v>
      </c>
      <c r="AD298" s="18" t="s">
        <v>2029</v>
      </c>
      <c r="AE298" s="18"/>
      <c r="BK298" s="18" t="s">
        <v>3890</v>
      </c>
      <c r="BL298" s="18">
        <v>6</v>
      </c>
    </row>
    <row r="299" spans="27:64">
      <c r="AA299" s="18" t="s">
        <v>610</v>
      </c>
      <c r="AB299" s="18"/>
      <c r="AC299" s="18" t="s">
        <v>1486</v>
      </c>
      <c r="AD299" s="18" t="s">
        <v>2030</v>
      </c>
      <c r="AE299" s="18"/>
      <c r="BK299" s="18" t="s">
        <v>3889</v>
      </c>
      <c r="BL299" s="18">
        <v>6</v>
      </c>
    </row>
    <row r="300" spans="27:64">
      <c r="AA300" s="18"/>
      <c r="AB300" s="18"/>
      <c r="AC300" s="18" t="s">
        <v>1487</v>
      </c>
      <c r="AD300" s="18" t="s">
        <v>2031</v>
      </c>
      <c r="AE300" s="18"/>
      <c r="BK300" s="18" t="s">
        <v>3893</v>
      </c>
      <c r="BL300" s="18">
        <v>6</v>
      </c>
    </row>
    <row r="301" spans="27:64">
      <c r="AA301" s="18"/>
      <c r="AB301" s="18"/>
      <c r="AC301" s="18" t="s">
        <v>1488</v>
      </c>
      <c r="AD301" s="18" t="s">
        <v>2032</v>
      </c>
      <c r="AE301" s="18"/>
      <c r="BK301" s="18" t="s">
        <v>3892</v>
      </c>
      <c r="BL301" s="18">
        <v>6</v>
      </c>
    </row>
    <row r="302" spans="27:64">
      <c r="AA302" s="18"/>
      <c r="AB302" s="18"/>
      <c r="AC302" s="18" t="s">
        <v>1489</v>
      </c>
      <c r="AD302" s="18" t="s">
        <v>2033</v>
      </c>
      <c r="AE302" s="18"/>
      <c r="BK302" s="18" t="s">
        <v>3885</v>
      </c>
      <c r="BL302" s="18">
        <v>6</v>
      </c>
    </row>
    <row r="303" spans="27:64">
      <c r="AA303" s="18"/>
      <c r="AB303" s="18"/>
      <c r="AC303" s="18" t="s">
        <v>1490</v>
      </c>
      <c r="AD303" s="18" t="s">
        <v>2034</v>
      </c>
      <c r="AE303" s="18"/>
      <c r="BK303" s="18" t="s">
        <v>3886</v>
      </c>
      <c r="BL303" s="18">
        <v>6</v>
      </c>
    </row>
    <row r="304" spans="27:64">
      <c r="AA304" s="18"/>
      <c r="AB304" s="18"/>
      <c r="AC304" s="18" t="s">
        <v>1491</v>
      </c>
      <c r="AD304" s="18" t="s">
        <v>2035</v>
      </c>
      <c r="AE304" s="18"/>
      <c r="BK304" s="18" t="s">
        <v>3887</v>
      </c>
      <c r="BL304" s="18">
        <v>6</v>
      </c>
    </row>
    <row r="305" spans="27:64">
      <c r="AA305" s="18"/>
      <c r="AB305" s="18"/>
      <c r="AC305" s="18" t="s">
        <v>1492</v>
      </c>
      <c r="AD305" s="18" t="s">
        <v>2036</v>
      </c>
      <c r="AE305" s="18"/>
      <c r="BK305" s="18" t="s">
        <v>3891</v>
      </c>
      <c r="BL305" s="18">
        <v>6</v>
      </c>
    </row>
    <row r="306" spans="27:64">
      <c r="AA306" s="18"/>
      <c r="AB306" s="18"/>
      <c r="AC306" s="18" t="s">
        <v>1493</v>
      </c>
      <c r="AD306" s="18" t="s">
        <v>2037</v>
      </c>
      <c r="AE306" s="18"/>
      <c r="BK306" s="18" t="s">
        <v>3888</v>
      </c>
      <c r="BL306" s="18">
        <v>6</v>
      </c>
    </row>
    <row r="307" spans="27:64">
      <c r="AA307" s="18"/>
      <c r="AB307" s="18"/>
      <c r="AC307" s="18" t="s">
        <v>1494</v>
      </c>
      <c r="AD307" s="18" t="s">
        <v>2038</v>
      </c>
      <c r="AE307" s="18"/>
      <c r="BK307" s="18" t="s">
        <v>3187</v>
      </c>
      <c r="BL307" s="18">
        <v>11</v>
      </c>
    </row>
    <row r="308" spans="27:64">
      <c r="AA308" s="18"/>
      <c r="AB308" s="18"/>
      <c r="AC308" s="18" t="s">
        <v>1495</v>
      </c>
      <c r="AD308" s="18" t="s">
        <v>2039</v>
      </c>
      <c r="AE308" s="18"/>
      <c r="BK308" s="18" t="s">
        <v>3186</v>
      </c>
      <c r="BL308" s="18">
        <v>11</v>
      </c>
    </row>
    <row r="309" spans="27:64">
      <c r="AA309" s="18"/>
      <c r="AB309" s="18"/>
      <c r="AC309" s="18" t="s">
        <v>1496</v>
      </c>
      <c r="AD309" s="18" t="s">
        <v>2040</v>
      </c>
      <c r="AE309" s="18"/>
      <c r="BK309" s="18" t="s">
        <v>3914</v>
      </c>
      <c r="BL309" s="18">
        <v>10</v>
      </c>
    </row>
    <row r="310" spans="27:64">
      <c r="AA310" s="18"/>
      <c r="AB310" s="18"/>
      <c r="AC310" s="18" t="s">
        <v>1497</v>
      </c>
      <c r="AD310" s="18" t="s">
        <v>2041</v>
      </c>
      <c r="AE310" s="18"/>
      <c r="BK310" s="18" t="s">
        <v>3913</v>
      </c>
      <c r="BL310" s="18">
        <v>10</v>
      </c>
    </row>
    <row r="311" spans="27:64">
      <c r="AA311" s="18"/>
      <c r="AB311" s="18"/>
      <c r="AC311" s="18" t="s">
        <v>1498</v>
      </c>
      <c r="AD311" s="18" t="s">
        <v>2042</v>
      </c>
      <c r="AE311" s="18"/>
      <c r="BK311" s="18" t="s">
        <v>3665</v>
      </c>
      <c r="BL311" s="18">
        <v>4</v>
      </c>
    </row>
    <row r="312" spans="27:64">
      <c r="AA312" s="18"/>
      <c r="AB312" s="18"/>
      <c r="AC312" s="18" t="s">
        <v>1499</v>
      </c>
      <c r="AD312" s="18" t="s">
        <v>2043</v>
      </c>
      <c r="AE312" s="18"/>
      <c r="BK312" s="18" t="s">
        <v>3664</v>
      </c>
      <c r="BL312" s="18">
        <v>4</v>
      </c>
    </row>
    <row r="313" spans="27:64">
      <c r="AA313" s="18"/>
      <c r="AB313" s="18"/>
      <c r="AC313" s="18" t="s">
        <v>1500</v>
      </c>
      <c r="AD313" s="18" t="s">
        <v>2044</v>
      </c>
      <c r="AE313" s="18"/>
      <c r="BK313" s="18" t="s">
        <v>3666</v>
      </c>
      <c r="BL313" s="18">
        <v>4</v>
      </c>
    </row>
    <row r="314" spans="27:64">
      <c r="AA314" s="18"/>
      <c r="AB314" s="18"/>
      <c r="AC314" s="18" t="s">
        <v>1501</v>
      </c>
      <c r="AD314" s="18" t="s">
        <v>2045</v>
      </c>
      <c r="AE314" s="18"/>
      <c r="BK314" s="18" t="s">
        <v>3661</v>
      </c>
      <c r="BL314" s="18">
        <v>4</v>
      </c>
    </row>
    <row r="315" spans="27:64">
      <c r="AA315" s="18"/>
      <c r="AB315" s="18"/>
      <c r="AC315" s="18" t="s">
        <v>1502</v>
      </c>
      <c r="AD315" s="18" t="s">
        <v>2046</v>
      </c>
      <c r="AE315" s="18"/>
      <c r="BK315" s="18" t="s">
        <v>3662</v>
      </c>
      <c r="BL315" s="18">
        <v>4</v>
      </c>
    </row>
    <row r="316" spans="27:64">
      <c r="AA316" s="18"/>
      <c r="AB316" s="18"/>
      <c r="AC316" s="18" t="s">
        <v>1503</v>
      </c>
      <c r="AD316" s="18" t="s">
        <v>2047</v>
      </c>
      <c r="AE316" s="18"/>
      <c r="BK316" s="18" t="s">
        <v>3667</v>
      </c>
      <c r="BL316" s="18">
        <v>4</v>
      </c>
    </row>
    <row r="317" spans="27:64">
      <c r="AA317" s="18"/>
      <c r="AB317" s="18"/>
      <c r="AC317" s="18" t="s">
        <v>1504</v>
      </c>
      <c r="AD317" s="18" t="s">
        <v>2048</v>
      </c>
      <c r="AE317" s="18"/>
      <c r="BK317" s="18" t="s">
        <v>3670</v>
      </c>
      <c r="BL317" s="18">
        <v>4</v>
      </c>
    </row>
    <row r="318" spans="27:64">
      <c r="AA318" s="18"/>
      <c r="AB318" s="18"/>
      <c r="AC318" s="18" t="s">
        <v>1505</v>
      </c>
      <c r="AD318" s="18" t="s">
        <v>2049</v>
      </c>
      <c r="AE318" s="18"/>
      <c r="BK318" s="18" t="s">
        <v>3668</v>
      </c>
      <c r="BL318" s="18">
        <v>4</v>
      </c>
    </row>
    <row r="319" spans="27:64">
      <c r="AA319" s="18"/>
      <c r="AB319" s="18"/>
      <c r="AC319" s="18" t="s">
        <v>1506</v>
      </c>
      <c r="AD319" s="18" t="s">
        <v>2050</v>
      </c>
      <c r="AE319" s="18"/>
      <c r="BK319" s="18" t="s">
        <v>3671</v>
      </c>
      <c r="BL319" s="18">
        <v>4</v>
      </c>
    </row>
    <row r="320" spans="27:64">
      <c r="AA320" s="18"/>
      <c r="AB320" s="18"/>
      <c r="AC320" s="18" t="s">
        <v>1507</v>
      </c>
      <c r="AD320" s="18" t="s">
        <v>2051</v>
      </c>
      <c r="AE320" s="18"/>
      <c r="BK320" s="18" t="s">
        <v>3669</v>
      </c>
      <c r="BL320" s="18">
        <v>4</v>
      </c>
    </row>
    <row r="321" spans="27:64">
      <c r="AA321" s="18"/>
      <c r="AB321" s="18"/>
      <c r="AC321" s="18" t="s">
        <v>1507</v>
      </c>
      <c r="AD321" s="18" t="s">
        <v>2052</v>
      </c>
      <c r="AE321" s="18"/>
      <c r="BK321" s="18" t="s">
        <v>3663</v>
      </c>
      <c r="BL321" s="18">
        <v>4</v>
      </c>
    </row>
    <row r="322" spans="27:64">
      <c r="AA322" s="18"/>
      <c r="AB322" s="18"/>
      <c r="AC322" s="18" t="s">
        <v>1508</v>
      </c>
      <c r="AD322" s="18" t="s">
        <v>2053</v>
      </c>
      <c r="AE322" s="18"/>
      <c r="BK322" s="18" t="s">
        <v>3676</v>
      </c>
      <c r="BL322" s="18">
        <v>4</v>
      </c>
    </row>
    <row r="323" spans="27:64">
      <c r="AA323" s="18"/>
      <c r="AB323" s="18"/>
      <c r="AC323" s="18" t="s">
        <v>1509</v>
      </c>
      <c r="AD323" s="18" t="s">
        <v>2054</v>
      </c>
      <c r="AE323" s="18"/>
      <c r="BK323" s="18" t="s">
        <v>3675</v>
      </c>
      <c r="BL323" s="18">
        <v>4</v>
      </c>
    </row>
    <row r="324" spans="27:64">
      <c r="AA324" s="18"/>
      <c r="AB324" s="18"/>
      <c r="AC324" s="18" t="s">
        <v>1510</v>
      </c>
      <c r="AD324" s="18" t="s">
        <v>2055</v>
      </c>
      <c r="AE324" s="18"/>
      <c r="BK324" s="18" t="s">
        <v>3677</v>
      </c>
      <c r="BL324" s="18">
        <v>4</v>
      </c>
    </row>
    <row r="325" spans="27:64">
      <c r="AA325" s="18"/>
      <c r="AB325" s="18"/>
      <c r="AC325" s="18" t="s">
        <v>1511</v>
      </c>
      <c r="AD325" s="18" t="s">
        <v>2056</v>
      </c>
      <c r="AE325" s="18"/>
      <c r="BK325" s="18" t="s">
        <v>3673</v>
      </c>
      <c r="BL325" s="18">
        <v>4</v>
      </c>
    </row>
    <row r="326" spans="27:64">
      <c r="AA326" s="18"/>
      <c r="AB326" s="18"/>
      <c r="AC326" s="18" t="s">
        <v>1512</v>
      </c>
      <c r="AD326" s="18" t="s">
        <v>2057</v>
      </c>
      <c r="AE326" s="18"/>
      <c r="BK326" s="18" t="s">
        <v>3678</v>
      </c>
      <c r="BL326" s="18">
        <v>4</v>
      </c>
    </row>
    <row r="327" spans="27:64">
      <c r="AA327" s="18"/>
      <c r="AB327" s="18"/>
      <c r="AC327" s="18" t="s">
        <v>1513</v>
      </c>
      <c r="AD327" s="18" t="s">
        <v>2058</v>
      </c>
      <c r="AE327" s="18"/>
      <c r="BK327" s="18" t="s">
        <v>3674</v>
      </c>
      <c r="BL327" s="18">
        <v>4</v>
      </c>
    </row>
    <row r="328" spans="27:64">
      <c r="AA328" s="18"/>
      <c r="AB328" s="18"/>
      <c r="AC328" s="18" t="s">
        <v>1514</v>
      </c>
      <c r="AD328" s="18" t="s">
        <v>2059</v>
      </c>
      <c r="AE328" s="18"/>
      <c r="BK328" s="18" t="s">
        <v>3672</v>
      </c>
      <c r="BL328" s="18">
        <v>4</v>
      </c>
    </row>
    <row r="329" spans="27:64">
      <c r="AA329" s="18"/>
      <c r="AB329" s="18"/>
      <c r="AC329" s="18" t="s">
        <v>1515</v>
      </c>
      <c r="AD329" s="18" t="s">
        <v>2060</v>
      </c>
      <c r="AE329" s="18"/>
      <c r="BK329" s="18" t="s">
        <v>3916</v>
      </c>
      <c r="BL329" s="18">
        <v>10</v>
      </c>
    </row>
    <row r="330" spans="27:64">
      <c r="AA330" s="18"/>
      <c r="AB330" s="18"/>
      <c r="AC330" s="18" t="s">
        <v>1516</v>
      </c>
      <c r="AD330" s="18" t="s">
        <v>2061</v>
      </c>
      <c r="AE330" s="18"/>
      <c r="BK330" s="18" t="s">
        <v>3918</v>
      </c>
      <c r="BL330" s="18">
        <v>12</v>
      </c>
    </row>
    <row r="331" spans="27:64">
      <c r="AA331" s="18"/>
      <c r="AB331" s="18"/>
      <c r="AC331" s="18" t="s">
        <v>1517</v>
      </c>
      <c r="AD331" s="18" t="s">
        <v>2062</v>
      </c>
      <c r="AE331" s="18"/>
      <c r="BK331" s="18" t="s">
        <v>3924</v>
      </c>
      <c r="BL331" s="18">
        <v>12</v>
      </c>
    </row>
    <row r="332" spans="27:64">
      <c r="AA332" s="18"/>
      <c r="AB332" s="18"/>
      <c r="AC332" s="18" t="s">
        <v>1518</v>
      </c>
      <c r="AD332" s="18" t="s">
        <v>2063</v>
      </c>
      <c r="AE332" s="18"/>
      <c r="BK332" s="18" t="s">
        <v>3922</v>
      </c>
      <c r="BL332" s="18">
        <v>12</v>
      </c>
    </row>
    <row r="333" spans="27:64">
      <c r="AA333" s="18"/>
      <c r="AB333" s="18"/>
      <c r="AC333" s="18" t="s">
        <v>1519</v>
      </c>
      <c r="AD333" s="18" t="s">
        <v>2064</v>
      </c>
      <c r="AE333" s="18"/>
      <c r="BK333" s="18" t="s">
        <v>3920</v>
      </c>
      <c r="BL333" s="18">
        <v>12</v>
      </c>
    </row>
    <row r="334" spans="27:64">
      <c r="AA334" s="18"/>
      <c r="AB334" s="18"/>
      <c r="AC334" s="18" t="s">
        <v>1520</v>
      </c>
      <c r="AD334" s="18"/>
      <c r="AE334" s="18"/>
      <c r="BK334" s="18" t="s">
        <v>3923</v>
      </c>
      <c r="BL334" s="18">
        <v>12</v>
      </c>
    </row>
    <row r="335" spans="27:64">
      <c r="AA335" s="18"/>
      <c r="AB335" s="18"/>
      <c r="AC335" s="18" t="s">
        <v>1521</v>
      </c>
      <c r="AD335" s="18"/>
      <c r="AE335" s="18"/>
      <c r="BK335" s="18" t="s">
        <v>3919</v>
      </c>
      <c r="BL335" s="18">
        <v>12</v>
      </c>
    </row>
    <row r="336" spans="27:64">
      <c r="AA336" s="18"/>
      <c r="AB336" s="18"/>
      <c r="AC336" s="18" t="s">
        <v>1522</v>
      </c>
      <c r="AD336" s="18"/>
      <c r="AE336" s="18"/>
      <c r="BK336" s="18" t="s">
        <v>3921</v>
      </c>
      <c r="BL336" s="18">
        <v>12</v>
      </c>
    </row>
    <row r="337" spans="27:64">
      <c r="AA337" s="18"/>
      <c r="AB337" s="18"/>
      <c r="AC337" s="18" t="s">
        <v>1523</v>
      </c>
      <c r="AD337" s="18"/>
      <c r="AE337" s="18"/>
      <c r="BK337" s="18" t="s">
        <v>3185</v>
      </c>
      <c r="BL337" s="18">
        <v>11</v>
      </c>
    </row>
    <row r="338" spans="27:64">
      <c r="AA338" s="18"/>
      <c r="AB338" s="18"/>
      <c r="AC338" s="18" t="s">
        <v>1523</v>
      </c>
      <c r="AD338" s="18"/>
      <c r="AE338" s="18"/>
      <c r="BK338" s="18" t="s">
        <v>3184</v>
      </c>
      <c r="BL338" s="18">
        <v>11</v>
      </c>
    </row>
    <row r="339" spans="27:64">
      <c r="AA339" s="18"/>
      <c r="AB339" s="18"/>
      <c r="AC339" s="18" t="s">
        <v>1524</v>
      </c>
      <c r="AD339" s="18"/>
      <c r="AE339" s="18"/>
      <c r="BK339" s="18" t="s">
        <v>3683</v>
      </c>
      <c r="BL339" s="18">
        <v>4</v>
      </c>
    </row>
    <row r="340" spans="27:64">
      <c r="AA340" s="18"/>
      <c r="AB340" s="18"/>
      <c r="AC340" s="18" t="s">
        <v>1525</v>
      </c>
      <c r="AD340" s="18"/>
      <c r="AE340" s="18"/>
      <c r="BK340" s="18" t="s">
        <v>3682</v>
      </c>
      <c r="BL340" s="18">
        <v>4</v>
      </c>
    </row>
    <row r="341" spans="27:64">
      <c r="AA341" s="18"/>
      <c r="AB341" s="18"/>
      <c r="AC341" s="18" t="s">
        <v>1526</v>
      </c>
      <c r="AD341" s="18"/>
      <c r="AE341" s="18"/>
      <c r="BK341" s="18" t="s">
        <v>3684</v>
      </c>
      <c r="BL341" s="18">
        <v>4</v>
      </c>
    </row>
    <row r="342" spans="27:64">
      <c r="AA342" s="18"/>
      <c r="AB342" s="18"/>
      <c r="AC342" s="18" t="s">
        <v>1527</v>
      </c>
      <c r="AD342" s="18"/>
      <c r="AE342" s="18"/>
      <c r="BK342" s="18" t="s">
        <v>3679</v>
      </c>
      <c r="BL342" s="18">
        <v>4</v>
      </c>
    </row>
    <row r="343" spans="27:64">
      <c r="AA343" s="18"/>
      <c r="AB343" s="18"/>
      <c r="AC343" s="18" t="s">
        <v>1527</v>
      </c>
      <c r="AD343" s="18"/>
      <c r="AE343" s="18"/>
      <c r="BK343" s="18" t="s">
        <v>3680</v>
      </c>
      <c r="BL343" s="18">
        <v>4</v>
      </c>
    </row>
    <row r="344" spans="27:64">
      <c r="AA344" s="18"/>
      <c r="AB344" s="18"/>
      <c r="AC344" s="18" t="s">
        <v>1528</v>
      </c>
      <c r="AD344" s="18"/>
      <c r="AE344" s="18"/>
      <c r="BK344" s="18" t="s">
        <v>3685</v>
      </c>
      <c r="BL344" s="18">
        <v>4</v>
      </c>
    </row>
    <row r="345" spans="27:64">
      <c r="AA345" s="18"/>
      <c r="AB345" s="18"/>
      <c r="AC345" s="18" t="s">
        <v>1528</v>
      </c>
      <c r="AD345" s="18"/>
      <c r="AE345" s="18"/>
      <c r="BK345" s="18" t="s">
        <v>3688</v>
      </c>
      <c r="BL345" s="18">
        <v>4</v>
      </c>
    </row>
    <row r="346" spans="27:64">
      <c r="AA346" s="18"/>
      <c r="AB346" s="18"/>
      <c r="AC346" s="18" t="s">
        <v>1529</v>
      </c>
      <c r="AD346" s="18"/>
      <c r="AE346" s="18"/>
      <c r="BK346" s="18" t="s">
        <v>3686</v>
      </c>
      <c r="BL346" s="18">
        <v>4</v>
      </c>
    </row>
    <row r="347" spans="27:64">
      <c r="AA347" s="18"/>
      <c r="AB347" s="18"/>
      <c r="AC347" s="18" t="s">
        <v>1530</v>
      </c>
      <c r="AD347" s="18"/>
      <c r="AE347" s="18"/>
      <c r="BK347" s="18" t="s">
        <v>3689</v>
      </c>
      <c r="BL347" s="18">
        <v>4</v>
      </c>
    </row>
    <row r="348" spans="27:64">
      <c r="AA348" s="18"/>
      <c r="AB348" s="18"/>
      <c r="AC348" s="18" t="s">
        <v>1531</v>
      </c>
      <c r="AD348" s="18"/>
      <c r="AE348" s="18"/>
      <c r="BK348" s="18" t="s">
        <v>3687</v>
      </c>
      <c r="BL348" s="18">
        <v>4</v>
      </c>
    </row>
    <row r="349" spans="27:64">
      <c r="AA349" s="18"/>
      <c r="AB349" s="18"/>
      <c r="AC349" s="18" t="s">
        <v>1532</v>
      </c>
      <c r="AD349" s="18"/>
      <c r="AE349" s="18"/>
      <c r="BK349" s="18" t="s">
        <v>3681</v>
      </c>
      <c r="BL349" s="18">
        <v>4</v>
      </c>
    </row>
    <row r="350" spans="27:64">
      <c r="AA350" s="18"/>
      <c r="AB350" s="18"/>
      <c r="AC350" s="18" t="s">
        <v>1533</v>
      </c>
      <c r="AD350" s="18"/>
      <c r="AE350" s="18"/>
      <c r="BK350" s="18" t="s">
        <v>3694</v>
      </c>
      <c r="BL350" s="18">
        <v>4</v>
      </c>
    </row>
    <row r="351" spans="27:64">
      <c r="AA351" s="18"/>
      <c r="AB351" s="18"/>
      <c r="AC351" s="18" t="s">
        <v>1534</v>
      </c>
      <c r="AD351" s="18"/>
      <c r="AE351" s="18"/>
      <c r="BK351" s="18" t="s">
        <v>3693</v>
      </c>
      <c r="BL351" s="18">
        <v>4</v>
      </c>
    </row>
    <row r="352" spans="27:64">
      <c r="AA352" s="18"/>
      <c r="AB352" s="18"/>
      <c r="AC352" s="18" t="s">
        <v>1535</v>
      </c>
      <c r="AD352" s="18"/>
      <c r="AE352" s="18"/>
      <c r="BK352" s="18" t="s">
        <v>3695</v>
      </c>
      <c r="BL352" s="18">
        <v>4</v>
      </c>
    </row>
    <row r="353" spans="27:64">
      <c r="AA353" s="18"/>
      <c r="AB353" s="18"/>
      <c r="AC353" s="18" t="s">
        <v>1536</v>
      </c>
      <c r="AD353" s="18"/>
      <c r="AE353" s="18"/>
      <c r="BK353" s="18" t="s">
        <v>3691</v>
      </c>
      <c r="BL353" s="18">
        <v>4</v>
      </c>
    </row>
    <row r="354" spans="27:64">
      <c r="AA354" s="18"/>
      <c r="AB354" s="18"/>
      <c r="AC354" s="18" t="s">
        <v>1537</v>
      </c>
      <c r="AD354" s="18"/>
      <c r="AE354" s="18"/>
      <c r="BK354" s="18" t="s">
        <v>3696</v>
      </c>
      <c r="BL354" s="18">
        <v>4</v>
      </c>
    </row>
    <row r="355" spans="27:64">
      <c r="AA355" s="18"/>
      <c r="AB355" s="18"/>
      <c r="AC355" s="18" t="s">
        <v>1538</v>
      </c>
      <c r="AD355" s="18"/>
      <c r="AE355" s="18"/>
      <c r="BK355" s="18" t="s">
        <v>3692</v>
      </c>
      <c r="BL355" s="18">
        <v>4</v>
      </c>
    </row>
    <row r="356" spans="27:64">
      <c r="AA356" s="18"/>
      <c r="AB356" s="18"/>
      <c r="AC356" s="18" t="s">
        <v>1539</v>
      </c>
      <c r="AD356" s="18"/>
      <c r="AE356" s="18"/>
      <c r="BK356" s="18" t="s">
        <v>3690</v>
      </c>
      <c r="BL356" s="18">
        <v>4</v>
      </c>
    </row>
    <row r="357" spans="27:64">
      <c r="AA357" s="18"/>
      <c r="AB357" s="18"/>
      <c r="AC357" s="18" t="s">
        <v>1540</v>
      </c>
      <c r="AD357" s="18"/>
      <c r="AE357" s="18"/>
      <c r="BK357" s="18" t="s">
        <v>3901</v>
      </c>
      <c r="BL357" s="18">
        <v>6</v>
      </c>
    </row>
    <row r="358" spans="27:64">
      <c r="AA358" s="18"/>
      <c r="AB358" s="18"/>
      <c r="AC358" s="18" t="s">
        <v>1541</v>
      </c>
      <c r="AD358" s="18"/>
      <c r="AE358" s="18"/>
      <c r="BK358" s="18" t="s">
        <v>3895</v>
      </c>
      <c r="BL358" s="18">
        <v>6</v>
      </c>
    </row>
    <row r="359" spans="27:64">
      <c r="AA359" s="18"/>
      <c r="AB359" s="18"/>
      <c r="AC359" s="18" t="s">
        <v>1542</v>
      </c>
      <c r="AD359" s="18"/>
      <c r="AE359" s="18"/>
      <c r="BK359" s="18" t="s">
        <v>3899</v>
      </c>
      <c r="BL359" s="18">
        <v>6</v>
      </c>
    </row>
    <row r="360" spans="27:64">
      <c r="AA360" s="18"/>
      <c r="AB360" s="18"/>
      <c r="AC360" s="18" t="s">
        <v>1543</v>
      </c>
      <c r="AD360" s="18"/>
      <c r="AE360" s="18"/>
      <c r="BK360" s="18" t="s">
        <v>3902</v>
      </c>
      <c r="BL360" s="18">
        <v>6</v>
      </c>
    </row>
    <row r="361" spans="27:64">
      <c r="AA361" s="18"/>
      <c r="AB361" s="18"/>
      <c r="AC361" s="18" t="s">
        <v>1544</v>
      </c>
      <c r="AD361" s="18"/>
      <c r="AE361" s="18"/>
      <c r="BK361" s="18" t="s">
        <v>3894</v>
      </c>
      <c r="BL361" s="18">
        <v>6</v>
      </c>
    </row>
    <row r="362" spans="27:64">
      <c r="AA362" s="18"/>
      <c r="AB362" s="18"/>
      <c r="AC362" s="18" t="s">
        <v>1545</v>
      </c>
      <c r="AD362" s="18"/>
      <c r="AE362" s="18"/>
      <c r="BK362" s="18" t="s">
        <v>3900</v>
      </c>
      <c r="BL362" s="18">
        <v>6</v>
      </c>
    </row>
    <row r="363" spans="27:64">
      <c r="AA363" s="18"/>
      <c r="AB363" s="18"/>
      <c r="AC363" s="18" t="s">
        <v>1546</v>
      </c>
      <c r="AD363" s="18"/>
      <c r="AE363" s="18"/>
      <c r="BK363" s="18" t="s">
        <v>3896</v>
      </c>
      <c r="BL363" s="18">
        <v>6</v>
      </c>
    </row>
    <row r="364" spans="27:64">
      <c r="AA364" s="18"/>
      <c r="AB364" s="18"/>
      <c r="AC364" s="18" t="s">
        <v>1547</v>
      </c>
      <c r="AD364" s="18"/>
      <c r="AE364" s="18"/>
      <c r="BK364" s="18" t="s">
        <v>3897</v>
      </c>
      <c r="BL364" s="18">
        <v>6</v>
      </c>
    </row>
    <row r="365" spans="27:64">
      <c r="AA365" s="18"/>
      <c r="AB365" s="18"/>
      <c r="AC365" s="18" t="s">
        <v>1548</v>
      </c>
      <c r="AD365" s="18"/>
      <c r="AE365" s="18"/>
      <c r="BK365" s="18" t="s">
        <v>3903</v>
      </c>
      <c r="BL365" s="18">
        <v>6</v>
      </c>
    </row>
    <row r="366" spans="27:64">
      <c r="AA366" s="18"/>
      <c r="AB366" s="18"/>
      <c r="AC366" s="18" t="s">
        <v>1549</v>
      </c>
      <c r="AD366" s="18"/>
      <c r="AE366" s="18"/>
      <c r="BK366" s="18" t="s">
        <v>3905</v>
      </c>
      <c r="BL366" s="18">
        <v>6</v>
      </c>
    </row>
    <row r="367" spans="27:64">
      <c r="AA367" s="18"/>
      <c r="AB367" s="18"/>
      <c r="AC367" s="18" t="s">
        <v>1550</v>
      </c>
      <c r="AD367" s="18"/>
      <c r="AE367" s="18"/>
      <c r="BK367" s="18" t="s">
        <v>3904</v>
      </c>
      <c r="BL367" s="18">
        <v>6</v>
      </c>
    </row>
    <row r="368" spans="27:64">
      <c r="AA368" s="18"/>
      <c r="AB368" s="18"/>
      <c r="AC368" s="18" t="s">
        <v>1551</v>
      </c>
      <c r="AD368" s="18"/>
      <c r="AE368" s="18"/>
      <c r="BK368" s="18" t="s">
        <v>3906</v>
      </c>
      <c r="BL368" s="18">
        <v>6</v>
      </c>
    </row>
    <row r="369" spans="27:64">
      <c r="AA369" s="18"/>
      <c r="AB369" s="18"/>
      <c r="AC369" s="18" t="s">
        <v>1552</v>
      </c>
      <c r="AD369" s="18"/>
      <c r="AE369" s="18"/>
      <c r="BK369" s="18" t="s">
        <v>3898</v>
      </c>
      <c r="BL369" s="18">
        <v>6</v>
      </c>
    </row>
    <row r="370" spans="27:64">
      <c r="AA370" s="18"/>
      <c r="AB370" s="18"/>
      <c r="AC370" s="18" t="s">
        <v>1553</v>
      </c>
      <c r="AD370" s="18"/>
      <c r="AE370" s="18"/>
      <c r="BK370" s="18" t="s">
        <v>3907</v>
      </c>
      <c r="BL370" s="18">
        <v>6</v>
      </c>
    </row>
    <row r="371" spans="27:64">
      <c r="AA371" s="18"/>
      <c r="AB371" s="18"/>
      <c r="AC371" s="18" t="s">
        <v>1554</v>
      </c>
      <c r="AD371" s="18"/>
      <c r="AE371" s="18"/>
      <c r="BK371" s="18" t="s">
        <v>3146</v>
      </c>
      <c r="BL371" s="18">
        <v>2</v>
      </c>
    </row>
    <row r="372" spans="27:64">
      <c r="AA372" s="18"/>
      <c r="AB372" s="18"/>
      <c r="AC372" s="18" t="s">
        <v>1555</v>
      </c>
      <c r="AD372" s="18"/>
      <c r="AE372" s="18"/>
      <c r="BK372" s="18" t="s">
        <v>3074</v>
      </c>
      <c r="BL372" s="18">
        <v>2</v>
      </c>
    </row>
    <row r="373" spans="27:64">
      <c r="AA373" s="18"/>
      <c r="AB373" s="18"/>
      <c r="AC373" s="18" t="s">
        <v>1556</v>
      </c>
      <c r="AD373" s="18"/>
      <c r="AE373" s="18"/>
      <c r="BK373" s="18" t="s">
        <v>3110</v>
      </c>
      <c r="BL373" s="18">
        <v>2</v>
      </c>
    </row>
    <row r="374" spans="27:64">
      <c r="AA374" s="18"/>
      <c r="AB374" s="18"/>
      <c r="AC374" s="18" t="s">
        <v>1557</v>
      </c>
      <c r="AD374" s="18"/>
      <c r="AE374" s="18"/>
      <c r="BK374" s="18" t="s">
        <v>3161</v>
      </c>
      <c r="BL374" s="18">
        <v>2</v>
      </c>
    </row>
    <row r="375" spans="27:64">
      <c r="AA375" s="18"/>
      <c r="AB375" s="18"/>
      <c r="AC375" s="18" t="s">
        <v>1558</v>
      </c>
      <c r="AD375" s="18"/>
      <c r="AE375" s="18"/>
      <c r="BK375" s="18" t="s">
        <v>3089</v>
      </c>
      <c r="BL375" s="18">
        <v>2</v>
      </c>
    </row>
    <row r="376" spans="27:64">
      <c r="AA376" s="18"/>
      <c r="AB376" s="18"/>
      <c r="AC376" s="18" t="s">
        <v>1558</v>
      </c>
      <c r="AD376" s="18"/>
      <c r="AE376" s="18"/>
      <c r="BK376" s="18" t="s">
        <v>3125</v>
      </c>
      <c r="BL376" s="18">
        <v>2</v>
      </c>
    </row>
    <row r="377" spans="27:64">
      <c r="AA377" s="18"/>
      <c r="AB377" s="18"/>
      <c r="AC377" s="18" t="s">
        <v>1559</v>
      </c>
      <c r="AD377" s="18"/>
      <c r="AE377" s="18"/>
      <c r="BK377" s="18" t="s">
        <v>3173</v>
      </c>
      <c r="BL377" s="18">
        <v>2</v>
      </c>
    </row>
    <row r="378" spans="27:64">
      <c r="AA378" s="18"/>
      <c r="AB378" s="18"/>
      <c r="AC378" s="18" t="s">
        <v>1560</v>
      </c>
      <c r="AD378" s="18"/>
      <c r="AE378" s="18"/>
      <c r="BK378" s="18" t="s">
        <v>3101</v>
      </c>
      <c r="BL378" s="18">
        <v>2</v>
      </c>
    </row>
    <row r="379" spans="27:64">
      <c r="AA379" s="18"/>
      <c r="AB379" s="18"/>
      <c r="AC379" s="18" t="s">
        <v>1561</v>
      </c>
      <c r="AD379" s="18"/>
      <c r="AE379" s="18"/>
      <c r="BK379" s="18" t="s">
        <v>3137</v>
      </c>
      <c r="BL379" s="18">
        <v>2</v>
      </c>
    </row>
    <row r="380" spans="27:64">
      <c r="AA380" s="18"/>
      <c r="AB380" s="18"/>
      <c r="AC380" s="18" t="s">
        <v>1562</v>
      </c>
      <c r="AD380" s="18"/>
      <c r="AE380" s="18"/>
      <c r="BK380" s="18" t="s">
        <v>3145</v>
      </c>
      <c r="BL380" s="18">
        <v>2</v>
      </c>
    </row>
    <row r="381" spans="27:64">
      <c r="AA381" s="18"/>
      <c r="AB381" s="18"/>
      <c r="AC381" s="18" t="s">
        <v>1563</v>
      </c>
      <c r="AD381" s="18"/>
      <c r="AE381" s="18"/>
      <c r="BK381" s="18" t="s">
        <v>3073</v>
      </c>
      <c r="BL381" s="18">
        <v>2</v>
      </c>
    </row>
    <row r="382" spans="27:64">
      <c r="AA382" s="18"/>
      <c r="AB382" s="18"/>
      <c r="AC382" s="18" t="s">
        <v>1564</v>
      </c>
      <c r="AD382" s="18"/>
      <c r="AE382" s="18"/>
      <c r="BK382" s="18" t="s">
        <v>3109</v>
      </c>
      <c r="BL382" s="18">
        <v>2</v>
      </c>
    </row>
    <row r="383" spans="27:64">
      <c r="AA383" s="18"/>
      <c r="AB383" s="18"/>
      <c r="AC383" s="18" t="s">
        <v>1565</v>
      </c>
      <c r="AD383" s="18"/>
      <c r="AE383" s="18"/>
      <c r="BK383" s="18" t="s">
        <v>3155</v>
      </c>
      <c r="BL383" s="18">
        <v>2</v>
      </c>
    </row>
    <row r="384" spans="27:64">
      <c r="AA384" s="18"/>
      <c r="AB384" s="18"/>
      <c r="AC384" s="18" t="s">
        <v>1566</v>
      </c>
      <c r="AD384" s="18"/>
      <c r="AE384" s="18"/>
      <c r="BK384" s="18" t="s">
        <v>3083</v>
      </c>
      <c r="BL384" s="18">
        <v>2</v>
      </c>
    </row>
    <row r="385" spans="27:64">
      <c r="AA385" s="18"/>
      <c r="AB385" s="18"/>
      <c r="AC385" s="18" t="s">
        <v>1567</v>
      </c>
      <c r="AD385" s="18"/>
      <c r="AE385" s="18"/>
      <c r="BK385" s="18" t="s">
        <v>3119</v>
      </c>
      <c r="BL385" s="18">
        <v>2</v>
      </c>
    </row>
    <row r="386" spans="27:64">
      <c r="AA386" s="18"/>
      <c r="AB386" s="18"/>
      <c r="AC386" s="18" t="s">
        <v>1568</v>
      </c>
      <c r="AD386" s="18"/>
      <c r="AE386" s="18"/>
      <c r="BK386" s="18" t="s">
        <v>3149</v>
      </c>
      <c r="BL386" s="18">
        <v>2</v>
      </c>
    </row>
    <row r="387" spans="27:64">
      <c r="AA387" s="18"/>
      <c r="AB387" s="18"/>
      <c r="AC387" s="18" t="s">
        <v>1569</v>
      </c>
      <c r="AD387" s="18"/>
      <c r="AE387" s="18"/>
      <c r="BK387" s="18" t="s">
        <v>3077</v>
      </c>
      <c r="BL387" s="18">
        <v>2</v>
      </c>
    </row>
    <row r="388" spans="27:64">
      <c r="AA388" s="18"/>
      <c r="AB388" s="18"/>
      <c r="AC388" s="18" t="s">
        <v>1570</v>
      </c>
      <c r="AD388" s="18"/>
      <c r="AE388" s="18"/>
      <c r="BK388" s="18" t="s">
        <v>3113</v>
      </c>
      <c r="BL388" s="18">
        <v>2</v>
      </c>
    </row>
    <row r="389" spans="27:64">
      <c r="AA389" s="18"/>
      <c r="AB389" s="18"/>
      <c r="AC389" s="18" t="s">
        <v>1571</v>
      </c>
      <c r="AD389" s="18"/>
      <c r="AE389" s="18"/>
      <c r="BK389" s="18" t="s">
        <v>3174</v>
      </c>
      <c r="BL389" s="18">
        <v>2</v>
      </c>
    </row>
    <row r="390" spans="27:64">
      <c r="AA390" s="18"/>
      <c r="AB390" s="18"/>
      <c r="AC390" s="18" t="s">
        <v>1572</v>
      </c>
      <c r="AD390" s="18"/>
      <c r="AE390" s="18"/>
      <c r="BK390" s="18" t="s">
        <v>3102</v>
      </c>
      <c r="BL390" s="18">
        <v>2</v>
      </c>
    </row>
    <row r="391" spans="27:64">
      <c r="AA391" s="18"/>
      <c r="AB391" s="18"/>
      <c r="AC391" s="18" t="s">
        <v>1573</v>
      </c>
      <c r="AD391" s="18"/>
      <c r="AE391" s="18"/>
      <c r="BK391" s="18" t="s">
        <v>3138</v>
      </c>
      <c r="BL391" s="18">
        <v>2</v>
      </c>
    </row>
    <row r="392" spans="27:64">
      <c r="AA392" s="18"/>
      <c r="AB392" s="18"/>
      <c r="AC392" s="18" t="s">
        <v>1574</v>
      </c>
      <c r="AD392" s="18"/>
      <c r="AE392" s="18"/>
      <c r="BK392" s="18" t="s">
        <v>3150</v>
      </c>
      <c r="BL392" s="18">
        <v>2</v>
      </c>
    </row>
    <row r="393" spans="27:64">
      <c r="AA393" s="18"/>
      <c r="AB393" s="18"/>
      <c r="AC393" s="18" t="s">
        <v>1575</v>
      </c>
      <c r="AD393" s="18"/>
      <c r="AE393" s="18"/>
      <c r="BK393" s="18" t="s">
        <v>3078</v>
      </c>
      <c r="BL393" s="18">
        <v>2</v>
      </c>
    </row>
    <row r="394" spans="27:64">
      <c r="AA394" s="18"/>
      <c r="AB394" s="18"/>
      <c r="AC394" s="18" t="s">
        <v>1576</v>
      </c>
      <c r="AD394" s="18"/>
      <c r="AE394" s="18"/>
      <c r="BK394" s="18" t="s">
        <v>3114</v>
      </c>
      <c r="BL394" s="18">
        <v>2</v>
      </c>
    </row>
    <row r="395" spans="27:64">
      <c r="AA395" s="18"/>
      <c r="AB395" s="18"/>
      <c r="AC395" s="18" t="s">
        <v>1577</v>
      </c>
      <c r="AD395" s="18"/>
      <c r="AE395" s="18"/>
      <c r="BK395" s="18" t="s">
        <v>3162</v>
      </c>
      <c r="BL395" s="18">
        <v>2</v>
      </c>
    </row>
    <row r="396" spans="27:64">
      <c r="AA396" s="18"/>
      <c r="AB396" s="18"/>
      <c r="AC396" s="18" t="s">
        <v>1578</v>
      </c>
      <c r="AD396" s="18"/>
      <c r="AE396" s="18"/>
      <c r="BK396" s="18" t="s">
        <v>3090</v>
      </c>
      <c r="BL396" s="18">
        <v>2</v>
      </c>
    </row>
    <row r="397" spans="27:64">
      <c r="AA397" s="18"/>
      <c r="AB397" s="18"/>
      <c r="AC397" s="18" t="s">
        <v>1579</v>
      </c>
      <c r="AD397" s="18"/>
      <c r="AE397" s="18"/>
      <c r="BK397" s="18" t="s">
        <v>3126</v>
      </c>
      <c r="BL397" s="18">
        <v>2</v>
      </c>
    </row>
    <row r="398" spans="27:64">
      <c r="AA398" s="18"/>
      <c r="AB398" s="18"/>
      <c r="AC398" s="18" t="s">
        <v>1580</v>
      </c>
      <c r="AD398" s="18"/>
      <c r="AE398" s="18"/>
      <c r="BK398" s="18" t="s">
        <v>3148</v>
      </c>
      <c r="BL398" s="18">
        <v>2</v>
      </c>
    </row>
    <row r="399" spans="27:64">
      <c r="AA399" s="18"/>
      <c r="AB399" s="18"/>
      <c r="AC399" s="18" t="s">
        <v>1581</v>
      </c>
      <c r="AD399" s="18"/>
      <c r="AE399" s="18"/>
      <c r="BK399" s="18" t="s">
        <v>3076</v>
      </c>
      <c r="BL399" s="18">
        <v>2</v>
      </c>
    </row>
    <row r="400" spans="27:64">
      <c r="AA400" s="18"/>
      <c r="AB400" s="18"/>
      <c r="AC400" s="18" t="s">
        <v>1582</v>
      </c>
      <c r="AD400" s="18"/>
      <c r="AE400" s="18"/>
      <c r="BK400" s="18" t="s">
        <v>3112</v>
      </c>
      <c r="BL400" s="18">
        <v>2</v>
      </c>
    </row>
    <row r="401" spans="27:64">
      <c r="AA401" s="18"/>
      <c r="AB401" s="18"/>
      <c r="AC401" s="18" t="s">
        <v>1583</v>
      </c>
      <c r="AD401" s="18"/>
      <c r="AE401" s="18"/>
      <c r="BK401" s="18" t="s">
        <v>3163</v>
      </c>
      <c r="BL401" s="18">
        <v>2</v>
      </c>
    </row>
    <row r="402" spans="27:64">
      <c r="AA402" s="18"/>
      <c r="AB402" s="18"/>
      <c r="AC402" s="18" t="s">
        <v>1584</v>
      </c>
      <c r="AD402" s="18"/>
      <c r="AE402" s="18"/>
      <c r="BK402" s="18" t="s">
        <v>3091</v>
      </c>
      <c r="BL402" s="18">
        <v>2</v>
      </c>
    </row>
    <row r="403" spans="27:64">
      <c r="AA403" s="18"/>
      <c r="AB403" s="18"/>
      <c r="AC403" s="18" t="s">
        <v>1585</v>
      </c>
      <c r="AD403" s="18"/>
      <c r="AE403" s="18"/>
      <c r="BK403" s="18" t="s">
        <v>3127</v>
      </c>
      <c r="BL403" s="18">
        <v>2</v>
      </c>
    </row>
    <row r="404" spans="27:64">
      <c r="AA404" s="18"/>
      <c r="AB404" s="18"/>
      <c r="AC404" s="18" t="s">
        <v>1586</v>
      </c>
      <c r="AD404" s="18"/>
      <c r="AE404" s="18"/>
      <c r="BK404" s="18" t="s">
        <v>3156</v>
      </c>
      <c r="BL404" s="18">
        <v>2</v>
      </c>
    </row>
    <row r="405" spans="27:64">
      <c r="AA405" s="18"/>
      <c r="AB405" s="18"/>
      <c r="AC405" s="18" t="s">
        <v>1587</v>
      </c>
      <c r="AD405" s="18"/>
      <c r="AE405" s="18"/>
      <c r="BK405" s="18" t="s">
        <v>3084</v>
      </c>
      <c r="BL405" s="18">
        <v>2</v>
      </c>
    </row>
    <row r="406" spans="27:64">
      <c r="AA406" s="18"/>
      <c r="AB406" s="18"/>
      <c r="AC406" s="18" t="s">
        <v>1588</v>
      </c>
      <c r="AD406" s="18"/>
      <c r="AE406" s="18"/>
      <c r="BK406" s="18" t="s">
        <v>3120</v>
      </c>
      <c r="BL406" s="18">
        <v>2</v>
      </c>
    </row>
    <row r="407" spans="27:64">
      <c r="AA407" s="18"/>
      <c r="AB407" s="18"/>
      <c r="AC407" s="18" t="s">
        <v>1589</v>
      </c>
      <c r="AD407" s="18"/>
      <c r="AE407" s="18"/>
      <c r="BK407" s="18" t="s">
        <v>3164</v>
      </c>
      <c r="BL407" s="18">
        <v>2</v>
      </c>
    </row>
    <row r="408" spans="27:64">
      <c r="AA408" s="18"/>
      <c r="AB408" s="18"/>
      <c r="AC408" s="18" t="s">
        <v>1590</v>
      </c>
      <c r="AD408" s="18"/>
      <c r="AE408" s="18"/>
      <c r="BK408" s="18" t="s">
        <v>3092</v>
      </c>
      <c r="BL408" s="18">
        <v>2</v>
      </c>
    </row>
    <row r="409" spans="27:64">
      <c r="AA409" s="18"/>
      <c r="AB409" s="18"/>
      <c r="AC409" s="18" t="s">
        <v>1591</v>
      </c>
      <c r="AD409" s="18"/>
      <c r="AE409" s="18"/>
      <c r="BK409" s="18" t="s">
        <v>3128</v>
      </c>
      <c r="BL409" s="18">
        <v>2</v>
      </c>
    </row>
    <row r="410" spans="27:64">
      <c r="AA410" s="18"/>
      <c r="AB410" s="18"/>
      <c r="AC410" s="18" t="s">
        <v>1592</v>
      </c>
      <c r="AD410" s="18"/>
      <c r="AE410" s="18"/>
      <c r="BK410" s="18" t="s">
        <v>3152</v>
      </c>
      <c r="BL410" s="18">
        <v>2</v>
      </c>
    </row>
    <row r="411" spans="27:64">
      <c r="AA411" s="18"/>
      <c r="AB411" s="18"/>
      <c r="AC411" s="18" t="s">
        <v>1593</v>
      </c>
      <c r="AD411" s="18"/>
      <c r="AE411" s="18"/>
      <c r="BK411" s="18" t="s">
        <v>3080</v>
      </c>
      <c r="BL411" s="18">
        <v>2</v>
      </c>
    </row>
    <row r="412" spans="27:64">
      <c r="AA412" s="18"/>
      <c r="AB412" s="18"/>
      <c r="AC412" s="18" t="s">
        <v>1594</v>
      </c>
      <c r="AD412" s="18"/>
      <c r="AE412" s="18"/>
      <c r="BK412" s="18" t="s">
        <v>3116</v>
      </c>
      <c r="BL412" s="18">
        <v>2</v>
      </c>
    </row>
    <row r="413" spans="27:64">
      <c r="AA413" s="18"/>
      <c r="AB413" s="18"/>
      <c r="AC413" s="18" t="s">
        <v>1595</v>
      </c>
      <c r="AD413" s="18"/>
      <c r="AE413" s="18"/>
      <c r="BK413" s="18" t="s">
        <v>3165</v>
      </c>
      <c r="BL413" s="18">
        <v>2</v>
      </c>
    </row>
    <row r="414" spans="27:64">
      <c r="AA414" s="18"/>
      <c r="AB414" s="18"/>
      <c r="AC414" s="18" t="s">
        <v>1596</v>
      </c>
      <c r="AD414" s="18"/>
      <c r="AE414" s="18"/>
      <c r="BK414" s="18" t="s">
        <v>3093</v>
      </c>
      <c r="BL414" s="18">
        <v>2</v>
      </c>
    </row>
    <row r="415" spans="27:64">
      <c r="AA415" s="18"/>
      <c r="AB415" s="18"/>
      <c r="AC415" s="18" t="s">
        <v>1597</v>
      </c>
      <c r="AD415" s="18"/>
      <c r="AE415" s="18"/>
      <c r="BK415" s="18" t="s">
        <v>3129</v>
      </c>
      <c r="BL415" s="18">
        <v>2</v>
      </c>
    </row>
    <row r="416" spans="27:64">
      <c r="AA416" s="18"/>
      <c r="AB416" s="18"/>
      <c r="AC416" s="18" t="s">
        <v>1598</v>
      </c>
      <c r="AD416" s="18"/>
      <c r="AE416" s="18"/>
      <c r="BK416" s="18" t="s">
        <v>3176</v>
      </c>
      <c r="BL416" s="18">
        <v>2</v>
      </c>
    </row>
    <row r="417" spans="27:64">
      <c r="AA417" s="18"/>
      <c r="AB417" s="18"/>
      <c r="AC417" s="18" t="s">
        <v>1599</v>
      </c>
      <c r="AD417" s="18"/>
      <c r="AE417" s="18"/>
      <c r="BK417" s="18" t="s">
        <v>3104</v>
      </c>
      <c r="BL417" s="18">
        <v>2</v>
      </c>
    </row>
    <row r="418" spans="27:64">
      <c r="AA418" s="18"/>
      <c r="AB418" s="18"/>
      <c r="AC418" s="18" t="s">
        <v>1600</v>
      </c>
      <c r="AD418" s="18"/>
      <c r="AE418" s="18"/>
      <c r="BK418" s="18" t="s">
        <v>3140</v>
      </c>
      <c r="BL418" s="18">
        <v>2</v>
      </c>
    </row>
    <row r="419" spans="27:64">
      <c r="AA419" s="18"/>
      <c r="AB419" s="18"/>
      <c r="AC419" s="18" t="s">
        <v>1601</v>
      </c>
      <c r="AD419" s="18"/>
      <c r="AE419" s="18"/>
      <c r="BK419" s="18" t="s">
        <v>3158</v>
      </c>
      <c r="BL419" s="18">
        <v>2</v>
      </c>
    </row>
    <row r="420" spans="27:64">
      <c r="AA420" s="18"/>
      <c r="AB420" s="18"/>
      <c r="AC420" s="18" t="s">
        <v>1602</v>
      </c>
      <c r="AD420" s="18"/>
      <c r="AE420" s="18"/>
      <c r="BK420" s="18" t="s">
        <v>3086</v>
      </c>
      <c r="BL420" s="18">
        <v>2</v>
      </c>
    </row>
    <row r="421" spans="27:64">
      <c r="AA421" s="18"/>
      <c r="AB421" s="18"/>
      <c r="AC421" s="18" t="s">
        <v>1603</v>
      </c>
      <c r="AD421" s="18"/>
      <c r="AE421" s="18"/>
      <c r="BK421" s="18" t="s">
        <v>3122</v>
      </c>
      <c r="BL421" s="18">
        <v>2</v>
      </c>
    </row>
    <row r="422" spans="27:64">
      <c r="AA422" s="18"/>
      <c r="AB422" s="18"/>
      <c r="AC422" s="18" t="s">
        <v>1604</v>
      </c>
      <c r="AD422" s="18"/>
      <c r="AE422" s="18"/>
      <c r="BK422" s="18" t="s">
        <v>3166</v>
      </c>
      <c r="BL422" s="18">
        <v>2</v>
      </c>
    </row>
    <row r="423" spans="27:64">
      <c r="AA423" s="18"/>
      <c r="AB423" s="18"/>
      <c r="AC423" s="18" t="s">
        <v>1605</v>
      </c>
      <c r="AD423" s="18"/>
      <c r="AE423" s="18"/>
      <c r="BK423" s="18" t="s">
        <v>3094</v>
      </c>
      <c r="BL423" s="18">
        <v>2</v>
      </c>
    </row>
    <row r="424" spans="27:64">
      <c r="AA424" s="18"/>
      <c r="AB424" s="18"/>
      <c r="AC424" s="18" t="s">
        <v>1606</v>
      </c>
      <c r="AD424" s="18"/>
      <c r="AE424" s="18"/>
      <c r="BK424" s="18" t="s">
        <v>3130</v>
      </c>
      <c r="BL424" s="18">
        <v>2</v>
      </c>
    </row>
    <row r="425" spans="27:64">
      <c r="AA425" s="18"/>
      <c r="AB425" s="18"/>
      <c r="AC425" s="18" t="s">
        <v>1607</v>
      </c>
      <c r="AD425" s="18"/>
      <c r="AE425" s="18"/>
      <c r="BK425" s="18" t="s">
        <v>3167</v>
      </c>
      <c r="BL425" s="18">
        <v>2</v>
      </c>
    </row>
    <row r="426" spans="27:64">
      <c r="AA426" s="18"/>
      <c r="AB426" s="18"/>
      <c r="AC426" s="18" t="s">
        <v>1608</v>
      </c>
      <c r="AD426" s="18"/>
      <c r="AE426" s="18"/>
      <c r="BK426" s="18" t="s">
        <v>3095</v>
      </c>
      <c r="BL426" s="18">
        <v>2</v>
      </c>
    </row>
    <row r="427" spans="27:64">
      <c r="AA427" s="18"/>
      <c r="AB427" s="18"/>
      <c r="AC427" s="18" t="s">
        <v>1609</v>
      </c>
      <c r="AD427" s="18"/>
      <c r="AE427" s="18"/>
      <c r="BK427" s="18" t="s">
        <v>3131</v>
      </c>
      <c r="BL427" s="18">
        <v>2</v>
      </c>
    </row>
    <row r="428" spans="27:64">
      <c r="AA428" s="18"/>
      <c r="AB428" s="18"/>
      <c r="AC428" s="18" t="s">
        <v>1610</v>
      </c>
      <c r="AD428" s="18"/>
      <c r="AE428" s="18"/>
      <c r="BK428" s="18" t="s">
        <v>3175</v>
      </c>
      <c r="BL428" s="18">
        <v>2</v>
      </c>
    </row>
    <row r="429" spans="27:64">
      <c r="AA429" s="18"/>
      <c r="AB429" s="18"/>
      <c r="AC429" s="18" t="s">
        <v>1611</v>
      </c>
      <c r="AD429" s="18"/>
      <c r="AE429" s="18"/>
      <c r="BK429" s="18" t="s">
        <v>3103</v>
      </c>
      <c r="BL429" s="18">
        <v>2</v>
      </c>
    </row>
    <row r="430" spans="27:64">
      <c r="AA430" s="18"/>
      <c r="AB430" s="18"/>
      <c r="AC430" s="18" t="s">
        <v>1612</v>
      </c>
      <c r="AD430" s="18"/>
      <c r="AE430" s="18"/>
      <c r="BK430" s="18" t="s">
        <v>3139</v>
      </c>
      <c r="BL430" s="18">
        <v>2</v>
      </c>
    </row>
    <row r="431" spans="27:64">
      <c r="AA431" s="18"/>
      <c r="AB431" s="18"/>
      <c r="AC431" s="18" t="s">
        <v>1613</v>
      </c>
      <c r="AD431" s="18"/>
      <c r="AE431" s="18"/>
      <c r="BK431" s="18" t="s">
        <v>3141</v>
      </c>
      <c r="BL431" s="18">
        <v>2</v>
      </c>
    </row>
    <row r="432" spans="27:64">
      <c r="AA432" s="18"/>
      <c r="AB432" s="18"/>
      <c r="AC432" s="18" t="s">
        <v>1614</v>
      </c>
      <c r="AD432" s="18"/>
      <c r="AE432" s="18"/>
      <c r="BK432" s="18" t="s">
        <v>3069</v>
      </c>
      <c r="BL432" s="18">
        <v>2</v>
      </c>
    </row>
    <row r="433" spans="27:64">
      <c r="AA433" s="18"/>
      <c r="AB433" s="18"/>
      <c r="AC433" s="18" t="s">
        <v>1615</v>
      </c>
      <c r="AD433" s="18"/>
      <c r="AE433" s="18"/>
      <c r="BK433" s="18" t="s">
        <v>3105</v>
      </c>
      <c r="BL433" s="18">
        <v>2</v>
      </c>
    </row>
    <row r="434" spans="27:64">
      <c r="AA434" s="18"/>
      <c r="AB434" s="18"/>
      <c r="AC434" s="18" t="s">
        <v>1616</v>
      </c>
      <c r="AD434" s="18"/>
      <c r="AE434" s="18"/>
      <c r="BK434" s="18" t="s">
        <v>3168</v>
      </c>
      <c r="BL434" s="18">
        <v>2</v>
      </c>
    </row>
    <row r="435" spans="27:64">
      <c r="AA435" s="18"/>
      <c r="AB435" s="18"/>
      <c r="AC435" s="18" t="s">
        <v>1617</v>
      </c>
      <c r="AD435" s="18"/>
      <c r="AE435" s="18"/>
      <c r="BK435" s="18" t="s">
        <v>3096</v>
      </c>
      <c r="BL435" s="18">
        <v>2</v>
      </c>
    </row>
    <row r="436" spans="27:64">
      <c r="AA436" s="18"/>
      <c r="AB436" s="18"/>
      <c r="AC436" s="18" t="s">
        <v>1618</v>
      </c>
      <c r="AD436" s="18"/>
      <c r="AE436" s="18"/>
      <c r="BK436" s="18" t="s">
        <v>3132</v>
      </c>
      <c r="BL436" s="18">
        <v>2</v>
      </c>
    </row>
    <row r="437" spans="27:64">
      <c r="AA437" s="18"/>
      <c r="AB437" s="18"/>
      <c r="AC437" s="18" t="s">
        <v>1619</v>
      </c>
      <c r="AD437" s="18"/>
      <c r="AE437" s="18"/>
      <c r="BK437" s="18" t="s">
        <v>3159</v>
      </c>
      <c r="BL437" s="18">
        <v>2</v>
      </c>
    </row>
    <row r="438" spans="27:64">
      <c r="AA438" s="18"/>
      <c r="AB438" s="18"/>
      <c r="AC438" s="18" t="s">
        <v>1693</v>
      </c>
      <c r="AD438" s="18"/>
      <c r="AE438" s="18"/>
      <c r="BK438" s="18" t="s">
        <v>3087</v>
      </c>
      <c r="BL438" s="18">
        <v>2</v>
      </c>
    </row>
    <row r="439" spans="27:64">
      <c r="AA439" s="18"/>
      <c r="AB439" s="18"/>
      <c r="AC439" s="18" t="s">
        <v>1620</v>
      </c>
      <c r="AD439" s="18"/>
      <c r="AE439" s="18"/>
      <c r="BK439" s="18" t="s">
        <v>3123</v>
      </c>
      <c r="BL439" s="18">
        <v>2</v>
      </c>
    </row>
    <row r="440" spans="27:64">
      <c r="AA440" s="18"/>
      <c r="AB440" s="18"/>
      <c r="AC440" s="18" t="s">
        <v>1620</v>
      </c>
      <c r="AD440" s="18"/>
      <c r="AE440" s="18"/>
      <c r="BK440" s="18" t="s">
        <v>3170</v>
      </c>
      <c r="BL440" s="18">
        <v>2</v>
      </c>
    </row>
    <row r="441" spans="27:64">
      <c r="AA441" s="18"/>
      <c r="AB441" s="18"/>
      <c r="AC441" s="18" t="s">
        <v>1621</v>
      </c>
      <c r="AD441" s="18"/>
      <c r="AE441" s="18"/>
      <c r="BK441" s="18" t="s">
        <v>3098</v>
      </c>
      <c r="BL441" s="18">
        <v>2</v>
      </c>
    </row>
    <row r="442" spans="27:64">
      <c r="AA442" s="18"/>
      <c r="AB442" s="18"/>
      <c r="AC442" s="18" t="s">
        <v>1621</v>
      </c>
      <c r="AD442" s="18"/>
      <c r="AE442" s="18"/>
      <c r="BK442" s="18" t="s">
        <v>3134</v>
      </c>
      <c r="BL442" s="18">
        <v>2</v>
      </c>
    </row>
    <row r="443" spans="27:64">
      <c r="AA443" s="18"/>
      <c r="AB443" s="18"/>
      <c r="AC443" s="18" t="s">
        <v>1622</v>
      </c>
      <c r="AD443" s="18"/>
      <c r="AE443" s="18"/>
      <c r="BK443" s="18" t="s">
        <v>3142</v>
      </c>
      <c r="BL443" s="18">
        <v>2</v>
      </c>
    </row>
    <row r="444" spans="27:64">
      <c r="AA444" s="18"/>
      <c r="AB444" s="18"/>
      <c r="AC444" s="18" t="s">
        <v>1623</v>
      </c>
      <c r="AD444" s="18"/>
      <c r="AE444" s="18"/>
      <c r="BK444" s="18" t="s">
        <v>3070</v>
      </c>
      <c r="BL444" s="18">
        <v>2</v>
      </c>
    </row>
    <row r="445" spans="27:64">
      <c r="AA445" s="18"/>
      <c r="AB445" s="18"/>
      <c r="AC445" s="18" t="s">
        <v>1624</v>
      </c>
      <c r="AD445" s="18"/>
      <c r="AE445" s="18"/>
      <c r="BK445" s="18" t="s">
        <v>3106</v>
      </c>
      <c r="BL445" s="18">
        <v>2</v>
      </c>
    </row>
    <row r="446" spans="27:64">
      <c r="AA446" s="18"/>
      <c r="AB446" s="18"/>
      <c r="AC446" s="18" t="s">
        <v>1625</v>
      </c>
      <c r="AD446" s="18"/>
      <c r="AE446" s="18"/>
      <c r="BK446" s="18" t="s">
        <v>3143</v>
      </c>
      <c r="BL446" s="18">
        <v>2</v>
      </c>
    </row>
    <row r="447" spans="27:64">
      <c r="AA447" s="18"/>
      <c r="AB447" s="18"/>
      <c r="AC447" s="18" t="s">
        <v>1694</v>
      </c>
      <c r="AD447" s="18"/>
      <c r="AE447" s="18"/>
      <c r="BK447" s="18" t="s">
        <v>3071</v>
      </c>
      <c r="BL447" s="18">
        <v>2</v>
      </c>
    </row>
    <row r="448" spans="27:64">
      <c r="AA448" s="18"/>
      <c r="AB448" s="18"/>
      <c r="AC448" s="18" t="s">
        <v>1626</v>
      </c>
      <c r="AD448" s="18"/>
      <c r="AE448" s="18"/>
      <c r="BK448" s="18" t="s">
        <v>3107</v>
      </c>
      <c r="BL448" s="18">
        <v>2</v>
      </c>
    </row>
    <row r="449" spans="27:64">
      <c r="AA449" s="18"/>
      <c r="AB449" s="18"/>
      <c r="AC449" s="18" t="s">
        <v>1627</v>
      </c>
      <c r="AD449" s="18"/>
      <c r="AE449" s="18"/>
      <c r="BK449" s="18" t="s">
        <v>3171</v>
      </c>
      <c r="BL449" s="18">
        <v>2</v>
      </c>
    </row>
    <row r="450" spans="27:64">
      <c r="AA450" s="18"/>
      <c r="AB450" s="18"/>
      <c r="AC450" s="18" t="s">
        <v>1628</v>
      </c>
      <c r="AD450" s="18"/>
      <c r="AE450" s="18"/>
      <c r="BK450" s="18" t="s">
        <v>3099</v>
      </c>
      <c r="BL450" s="18">
        <v>2</v>
      </c>
    </row>
    <row r="451" spans="27:64">
      <c r="AA451" s="18"/>
      <c r="AB451" s="18"/>
      <c r="AC451" s="18" t="s">
        <v>1629</v>
      </c>
      <c r="AD451" s="18"/>
      <c r="AE451" s="18"/>
      <c r="BK451" s="18" t="s">
        <v>3135</v>
      </c>
      <c r="BL451" s="18">
        <v>2</v>
      </c>
    </row>
    <row r="452" spans="27:64">
      <c r="AA452" s="18"/>
      <c r="AB452" s="18"/>
      <c r="AC452" s="18" t="s">
        <v>1630</v>
      </c>
      <c r="AD452" s="18"/>
      <c r="AE452" s="18"/>
      <c r="BK452" s="18" t="s">
        <v>3151</v>
      </c>
      <c r="BL452" s="18">
        <v>2</v>
      </c>
    </row>
    <row r="453" spans="27:64">
      <c r="AA453" s="18"/>
      <c r="AB453" s="18"/>
      <c r="AC453" s="18" t="s">
        <v>1630</v>
      </c>
      <c r="AD453" s="18"/>
      <c r="AE453" s="18"/>
      <c r="BK453" s="18" t="s">
        <v>3079</v>
      </c>
      <c r="BL453" s="18">
        <v>2</v>
      </c>
    </row>
    <row r="454" spans="27:64">
      <c r="AA454" s="18"/>
      <c r="AB454" s="18"/>
      <c r="AC454" s="18" t="s">
        <v>1631</v>
      </c>
      <c r="AD454" s="18"/>
      <c r="AE454" s="18"/>
      <c r="BK454" s="18" t="s">
        <v>3115</v>
      </c>
      <c r="BL454" s="18">
        <v>2</v>
      </c>
    </row>
    <row r="455" spans="27:64">
      <c r="AA455" s="18"/>
      <c r="AB455" s="18"/>
      <c r="AC455" s="18" t="s">
        <v>1632</v>
      </c>
      <c r="AD455" s="18"/>
      <c r="AE455" s="18"/>
      <c r="BK455" s="18" t="s">
        <v>3153</v>
      </c>
      <c r="BL455" s="18">
        <v>2</v>
      </c>
    </row>
    <row r="456" spans="27:64">
      <c r="AA456" s="18"/>
      <c r="AB456" s="18"/>
      <c r="AC456" s="18" t="s">
        <v>1633</v>
      </c>
      <c r="AD456" s="18"/>
      <c r="AE456" s="18"/>
      <c r="BK456" s="18" t="s">
        <v>3081</v>
      </c>
      <c r="BL456" s="18">
        <v>2</v>
      </c>
    </row>
    <row r="457" spans="27:64">
      <c r="AA457" s="18"/>
      <c r="AB457" s="18"/>
      <c r="AC457" s="18" t="s">
        <v>1634</v>
      </c>
      <c r="AD457" s="18"/>
      <c r="AE457" s="18"/>
      <c r="BK457" s="18" t="s">
        <v>3117</v>
      </c>
      <c r="BL457" s="18">
        <v>2</v>
      </c>
    </row>
    <row r="458" spans="27:64">
      <c r="AA458" s="18"/>
      <c r="AB458" s="18"/>
      <c r="AC458" s="18" t="s">
        <v>1635</v>
      </c>
      <c r="AD458" s="18"/>
      <c r="AE458" s="18"/>
      <c r="BK458" s="18" t="s">
        <v>3154</v>
      </c>
      <c r="BL458" s="18">
        <v>2</v>
      </c>
    </row>
    <row r="459" spans="27:64">
      <c r="AA459" s="18"/>
      <c r="AB459" s="18"/>
      <c r="AC459" s="18" t="s">
        <v>1636</v>
      </c>
      <c r="AD459" s="18"/>
      <c r="AE459" s="18"/>
      <c r="BK459" s="18" t="s">
        <v>3082</v>
      </c>
      <c r="BL459" s="18">
        <v>2</v>
      </c>
    </row>
    <row r="460" spans="27:64">
      <c r="AA460" s="18"/>
      <c r="AB460" s="18"/>
      <c r="AC460" s="18" t="s">
        <v>1637</v>
      </c>
      <c r="AD460" s="18"/>
      <c r="AE460" s="18"/>
      <c r="BK460" s="18" t="s">
        <v>3118</v>
      </c>
      <c r="BL460" s="18">
        <v>2</v>
      </c>
    </row>
    <row r="461" spans="27:64">
      <c r="AA461" s="18"/>
      <c r="AB461" s="18"/>
      <c r="AC461" s="18" t="s">
        <v>1638</v>
      </c>
      <c r="AD461" s="18"/>
      <c r="AE461" s="18"/>
      <c r="BK461" s="18" t="s">
        <v>3160</v>
      </c>
      <c r="BL461" s="18">
        <v>2</v>
      </c>
    </row>
    <row r="462" spans="27:64">
      <c r="AA462" s="18"/>
      <c r="AB462" s="18"/>
      <c r="AC462" s="18" t="s">
        <v>1639</v>
      </c>
      <c r="AD462" s="18"/>
      <c r="AE462" s="18"/>
      <c r="BK462" s="18" t="s">
        <v>3088</v>
      </c>
      <c r="BL462" s="18">
        <v>2</v>
      </c>
    </row>
    <row r="463" spans="27:64">
      <c r="AA463" s="18"/>
      <c r="AB463" s="18"/>
      <c r="AC463" s="18" t="s">
        <v>1639</v>
      </c>
      <c r="AD463" s="18"/>
      <c r="AE463" s="18"/>
      <c r="BK463" s="18" t="s">
        <v>3124</v>
      </c>
      <c r="BL463" s="18">
        <v>2</v>
      </c>
    </row>
    <row r="464" spans="27:64">
      <c r="AA464" s="18"/>
      <c r="AB464" s="18"/>
      <c r="AC464" s="18" t="s">
        <v>1640</v>
      </c>
      <c r="AD464" s="18"/>
      <c r="AE464" s="18"/>
      <c r="BK464" s="18" t="s">
        <v>3147</v>
      </c>
      <c r="BL464" s="18">
        <v>2</v>
      </c>
    </row>
    <row r="465" spans="27:64">
      <c r="AA465" s="18"/>
      <c r="AB465" s="18"/>
      <c r="AC465" s="18" t="s">
        <v>1640</v>
      </c>
      <c r="AD465" s="18"/>
      <c r="AE465" s="18"/>
      <c r="BK465" s="18" t="s">
        <v>3075</v>
      </c>
      <c r="BL465" s="18">
        <v>2</v>
      </c>
    </row>
    <row r="466" spans="27:64">
      <c r="AA466" s="18"/>
      <c r="AB466" s="18"/>
      <c r="AC466" s="18" t="s">
        <v>1641</v>
      </c>
      <c r="AD466" s="18"/>
      <c r="AE466" s="18"/>
      <c r="BK466" s="18" t="s">
        <v>3111</v>
      </c>
      <c r="BL466" s="18">
        <v>2</v>
      </c>
    </row>
    <row r="467" spans="27:64">
      <c r="AA467" s="18"/>
      <c r="AB467" s="18"/>
      <c r="AC467" s="18" t="s">
        <v>1642</v>
      </c>
      <c r="AD467" s="18"/>
      <c r="AE467" s="18"/>
      <c r="BK467" s="18" t="s">
        <v>3169</v>
      </c>
      <c r="BL467" s="18">
        <v>2</v>
      </c>
    </row>
    <row r="468" spans="27:64">
      <c r="AA468" s="18"/>
      <c r="AB468" s="18"/>
      <c r="AC468" s="18" t="s">
        <v>1643</v>
      </c>
      <c r="AD468" s="18"/>
      <c r="AE468" s="18"/>
      <c r="BK468" s="18" t="s">
        <v>3097</v>
      </c>
      <c r="BL468" s="18">
        <v>2</v>
      </c>
    </row>
    <row r="469" spans="27:64">
      <c r="AA469" s="18"/>
      <c r="AB469" s="18"/>
      <c r="AC469" s="18" t="s">
        <v>1644</v>
      </c>
      <c r="AD469" s="18"/>
      <c r="AE469" s="18"/>
      <c r="BK469" s="18" t="s">
        <v>3133</v>
      </c>
      <c r="BL469" s="18">
        <v>2</v>
      </c>
    </row>
    <row r="470" spans="27:64">
      <c r="AA470" s="18"/>
      <c r="AB470" s="18"/>
      <c r="AC470" s="18" t="s">
        <v>1644</v>
      </c>
      <c r="AD470" s="18"/>
      <c r="AE470" s="18"/>
      <c r="BK470" s="18" t="s">
        <v>3144</v>
      </c>
      <c r="BL470" s="18">
        <v>2</v>
      </c>
    </row>
    <row r="471" spans="27:64">
      <c r="AA471" s="18"/>
      <c r="AB471" s="18"/>
      <c r="AC471" s="18" t="s">
        <v>1645</v>
      </c>
      <c r="AD471" s="18"/>
      <c r="AE471" s="18"/>
      <c r="BK471" s="18" t="s">
        <v>3072</v>
      </c>
      <c r="BL471" s="18">
        <v>2</v>
      </c>
    </row>
    <row r="472" spans="27:64">
      <c r="AA472" s="18"/>
      <c r="AB472" s="18"/>
      <c r="AC472" s="18" t="s">
        <v>1646</v>
      </c>
      <c r="AD472" s="18"/>
      <c r="AE472" s="18"/>
      <c r="BK472" s="18" t="s">
        <v>3108</v>
      </c>
      <c r="BL472" s="18">
        <v>2</v>
      </c>
    </row>
    <row r="473" spans="27:64">
      <c r="AA473" s="18"/>
      <c r="AB473" s="18"/>
      <c r="AC473" s="18" t="s">
        <v>1647</v>
      </c>
      <c r="AD473" s="18"/>
      <c r="AE473" s="18"/>
      <c r="BK473" s="18" t="s">
        <v>3157</v>
      </c>
      <c r="BL473" s="18">
        <v>2</v>
      </c>
    </row>
    <row r="474" spans="27:64">
      <c r="AA474" s="18"/>
      <c r="AB474" s="18"/>
      <c r="AC474" s="18" t="s">
        <v>1648</v>
      </c>
      <c r="AD474" s="18"/>
      <c r="AE474" s="18"/>
      <c r="BK474" s="18" t="s">
        <v>3085</v>
      </c>
      <c r="BL474" s="18">
        <v>2</v>
      </c>
    </row>
    <row r="475" spans="27:64">
      <c r="AA475" s="18"/>
      <c r="AB475" s="18"/>
      <c r="AC475" s="18" t="s">
        <v>1648</v>
      </c>
      <c r="AD475" s="18"/>
      <c r="AE475" s="18"/>
      <c r="BK475" s="18" t="s">
        <v>3121</v>
      </c>
      <c r="BL475" s="18">
        <v>2</v>
      </c>
    </row>
    <row r="476" spans="27:64">
      <c r="AA476" s="18"/>
      <c r="AB476" s="18"/>
      <c r="AC476" s="18" t="s">
        <v>1696</v>
      </c>
      <c r="AD476" s="18"/>
      <c r="AE476" s="18"/>
      <c r="BK476" s="18" t="s">
        <v>3172</v>
      </c>
      <c r="BL476" s="18">
        <v>2</v>
      </c>
    </row>
    <row r="477" spans="27:64">
      <c r="AA477" s="18"/>
      <c r="AB477" s="18"/>
      <c r="AC477" s="18" t="s">
        <v>1649</v>
      </c>
      <c r="AD477" s="18"/>
      <c r="AE477" s="18"/>
      <c r="BK477" s="18" t="s">
        <v>3100</v>
      </c>
      <c r="BL477" s="18">
        <v>2</v>
      </c>
    </row>
    <row r="478" spans="27:64">
      <c r="AA478" s="18"/>
      <c r="AB478" s="18"/>
      <c r="AC478" s="18" t="s">
        <v>1650</v>
      </c>
      <c r="AD478" s="18"/>
      <c r="AE478" s="18"/>
      <c r="BK478" s="18" t="s">
        <v>3136</v>
      </c>
      <c r="BL478" s="18">
        <v>2</v>
      </c>
    </row>
    <row r="479" spans="27:64">
      <c r="AA479" s="18"/>
      <c r="AB479" s="18"/>
      <c r="AC479" s="18" t="s">
        <v>1651</v>
      </c>
      <c r="AD479" s="18"/>
      <c r="AE479" s="18"/>
      <c r="BK479" s="18" t="s">
        <v>3522</v>
      </c>
      <c r="BL479" s="18">
        <v>3</v>
      </c>
    </row>
    <row r="480" spans="27:64">
      <c r="AA480" s="18"/>
      <c r="AB480" s="18"/>
      <c r="AC480" s="18" t="s">
        <v>1695</v>
      </c>
      <c r="AD480" s="18"/>
      <c r="AE480" s="18"/>
      <c r="BK480" s="18" t="s">
        <v>3198</v>
      </c>
      <c r="BL480" s="18">
        <v>3</v>
      </c>
    </row>
    <row r="481" spans="27:64">
      <c r="AA481" s="18"/>
      <c r="AB481" s="18"/>
      <c r="AC481" s="18" t="s">
        <v>1652</v>
      </c>
      <c r="AD481" s="18"/>
      <c r="AE481" s="18"/>
      <c r="BK481" s="18" t="s">
        <v>3558</v>
      </c>
      <c r="BL481" s="18">
        <v>3</v>
      </c>
    </row>
    <row r="482" spans="27:64">
      <c r="AA482" s="18"/>
      <c r="AB482" s="18"/>
      <c r="AC482" s="18" t="s">
        <v>1653</v>
      </c>
      <c r="AD482" s="18"/>
      <c r="AE482" s="18"/>
      <c r="BK482" s="18" t="s">
        <v>3342</v>
      </c>
      <c r="BL482" s="18">
        <v>3</v>
      </c>
    </row>
    <row r="483" spans="27:64">
      <c r="AA483" s="18"/>
      <c r="AB483" s="18"/>
      <c r="AC483" s="18" t="s">
        <v>1654</v>
      </c>
      <c r="AD483" s="18"/>
      <c r="AE483" s="18"/>
      <c r="BK483" s="18" t="s">
        <v>3594</v>
      </c>
      <c r="BL483" s="18">
        <v>3</v>
      </c>
    </row>
    <row r="484" spans="27:64">
      <c r="AA484" s="18"/>
      <c r="AB484" s="18"/>
      <c r="AC484" s="18" t="s">
        <v>1655</v>
      </c>
      <c r="AD484" s="18"/>
      <c r="AE484" s="18"/>
      <c r="BK484" s="18" t="s">
        <v>3270</v>
      </c>
      <c r="BL484" s="18">
        <v>3</v>
      </c>
    </row>
    <row r="485" spans="27:64">
      <c r="AA485" s="18"/>
      <c r="AB485" s="18"/>
      <c r="AC485" s="18" t="s">
        <v>1656</v>
      </c>
      <c r="AD485" s="18"/>
      <c r="AE485" s="18"/>
      <c r="BK485" s="18" t="s">
        <v>3378</v>
      </c>
      <c r="BL485" s="18">
        <v>3</v>
      </c>
    </row>
    <row r="486" spans="27:64">
      <c r="AA486" s="18"/>
      <c r="AB486" s="18"/>
      <c r="AC486" s="18" t="s">
        <v>1656</v>
      </c>
      <c r="AD486" s="18"/>
      <c r="AE486" s="18"/>
      <c r="BK486" s="18" t="s">
        <v>3234</v>
      </c>
      <c r="BL486" s="18">
        <v>3</v>
      </c>
    </row>
    <row r="487" spans="27:64">
      <c r="AA487" s="18"/>
      <c r="AB487" s="18"/>
      <c r="AC487" s="18" t="s">
        <v>1657</v>
      </c>
      <c r="AD487" s="18"/>
      <c r="AE487" s="18"/>
      <c r="BK487" s="18" t="s">
        <v>3306</v>
      </c>
      <c r="BL487" s="18">
        <v>3</v>
      </c>
    </row>
    <row r="488" spans="27:64">
      <c r="AA488" s="18"/>
      <c r="AB488" s="18"/>
      <c r="AC488" s="18" t="s">
        <v>1658</v>
      </c>
      <c r="AD488" s="18"/>
      <c r="AE488" s="18"/>
      <c r="BK488" s="18" t="s">
        <v>3450</v>
      </c>
      <c r="BL488" s="18">
        <v>3</v>
      </c>
    </row>
    <row r="489" spans="27:64">
      <c r="AA489" s="18"/>
      <c r="AB489" s="18"/>
      <c r="AC489" s="18" t="s">
        <v>1659</v>
      </c>
      <c r="AD489" s="18"/>
      <c r="AE489" s="18"/>
      <c r="BK489" s="18" t="s">
        <v>3630</v>
      </c>
      <c r="BL489" s="18">
        <v>3</v>
      </c>
    </row>
    <row r="490" spans="27:64">
      <c r="AA490" s="18"/>
      <c r="AB490" s="18"/>
      <c r="AC490" s="18" t="s">
        <v>1659</v>
      </c>
      <c r="AD490" s="18"/>
      <c r="AE490" s="18"/>
      <c r="BK490" s="18" t="s">
        <v>3414</v>
      </c>
      <c r="BL490" s="18">
        <v>3</v>
      </c>
    </row>
    <row r="491" spans="27:64">
      <c r="AA491" s="18"/>
      <c r="AB491" s="18"/>
      <c r="AC491" s="18" t="s">
        <v>1660</v>
      </c>
      <c r="AD491" s="18"/>
      <c r="AE491" s="18"/>
      <c r="BK491" s="18" t="s">
        <v>3486</v>
      </c>
      <c r="BL491" s="18">
        <v>3</v>
      </c>
    </row>
    <row r="492" spans="27:64">
      <c r="AA492" s="18"/>
      <c r="AB492" s="18"/>
      <c r="AC492" s="18" t="s">
        <v>1661</v>
      </c>
      <c r="AD492" s="18"/>
      <c r="AE492" s="18"/>
      <c r="BK492" s="18" t="s">
        <v>3537</v>
      </c>
      <c r="BL492" s="18">
        <v>3</v>
      </c>
    </row>
    <row r="493" spans="27:64">
      <c r="AA493" s="18"/>
      <c r="AB493" s="18"/>
      <c r="AC493" s="18" t="s">
        <v>1662</v>
      </c>
      <c r="AD493" s="18"/>
      <c r="AE493" s="18"/>
      <c r="BK493" s="18" t="s">
        <v>3213</v>
      </c>
      <c r="BL493" s="18">
        <v>3</v>
      </c>
    </row>
    <row r="494" spans="27:64">
      <c r="AA494" s="18"/>
      <c r="AB494" s="18"/>
      <c r="AC494" s="18" t="s">
        <v>1662</v>
      </c>
      <c r="AD494" s="18"/>
      <c r="AE494" s="18"/>
      <c r="BK494" s="18" t="s">
        <v>3573</v>
      </c>
      <c r="BL494" s="18">
        <v>3</v>
      </c>
    </row>
    <row r="495" spans="27:64">
      <c r="AA495" s="18"/>
      <c r="AB495" s="18"/>
      <c r="AC495" s="18" t="s">
        <v>1663</v>
      </c>
      <c r="AD495" s="18"/>
      <c r="AE495" s="18"/>
      <c r="BK495" s="18" t="s">
        <v>3357</v>
      </c>
      <c r="BL495" s="18">
        <v>3</v>
      </c>
    </row>
    <row r="496" spans="27:64">
      <c r="AA496" s="18"/>
      <c r="AB496" s="18"/>
      <c r="AC496" s="18" t="s">
        <v>1664</v>
      </c>
      <c r="AD496" s="18"/>
      <c r="AE496" s="18"/>
      <c r="BK496" s="18" t="s">
        <v>3609</v>
      </c>
      <c r="BL496" s="18">
        <v>3</v>
      </c>
    </row>
    <row r="497" spans="27:64">
      <c r="AA497" s="18"/>
      <c r="AB497" s="18"/>
      <c r="AC497" s="18" t="s">
        <v>1664</v>
      </c>
      <c r="AD497" s="18"/>
      <c r="AE497" s="18"/>
      <c r="BK497" s="18" t="s">
        <v>3285</v>
      </c>
      <c r="BL497" s="18">
        <v>3</v>
      </c>
    </row>
    <row r="498" spans="27:64">
      <c r="AA498" s="18"/>
      <c r="AB498" s="18"/>
      <c r="AC498" s="18" t="s">
        <v>1665</v>
      </c>
      <c r="AD498" s="18"/>
      <c r="AE498" s="18"/>
      <c r="BK498" s="18" t="s">
        <v>3393</v>
      </c>
      <c r="BL498" s="18">
        <v>3</v>
      </c>
    </row>
    <row r="499" spans="27:64">
      <c r="AA499" s="18"/>
      <c r="AB499" s="18"/>
      <c r="AC499" s="18" t="s">
        <v>1666</v>
      </c>
      <c r="AD499" s="18"/>
      <c r="AE499" s="18"/>
      <c r="BK499" s="18" t="s">
        <v>3249</v>
      </c>
      <c r="BL499" s="18">
        <v>3</v>
      </c>
    </row>
    <row r="500" spans="27:64">
      <c r="AA500" s="18"/>
      <c r="AB500" s="18"/>
      <c r="AC500" s="18" t="s">
        <v>1667</v>
      </c>
      <c r="AD500" s="18"/>
      <c r="AE500" s="18"/>
      <c r="BK500" s="18" t="s">
        <v>3321</v>
      </c>
      <c r="BL500" s="18">
        <v>3</v>
      </c>
    </row>
    <row r="501" spans="27:64">
      <c r="AA501" s="18"/>
      <c r="AB501" s="18"/>
      <c r="AC501" s="18" t="s">
        <v>1668</v>
      </c>
      <c r="AD501" s="18"/>
      <c r="AE501" s="18"/>
      <c r="BK501" s="18" t="s">
        <v>3465</v>
      </c>
      <c r="BL501" s="18">
        <v>3</v>
      </c>
    </row>
    <row r="502" spans="27:64">
      <c r="AA502" s="18"/>
      <c r="AB502" s="18"/>
      <c r="AC502" s="18" t="s">
        <v>1669</v>
      </c>
      <c r="AD502" s="18"/>
      <c r="AE502" s="18"/>
      <c r="BK502" s="18" t="s">
        <v>3645</v>
      </c>
      <c r="BL502" s="18">
        <v>3</v>
      </c>
    </row>
    <row r="503" spans="27:64">
      <c r="AA503" s="18"/>
      <c r="AB503" s="18"/>
      <c r="AC503" s="18" t="s">
        <v>1670</v>
      </c>
      <c r="AD503" s="18"/>
      <c r="AE503" s="18"/>
      <c r="BK503" s="18" t="s">
        <v>3429</v>
      </c>
      <c r="BL503" s="18">
        <v>3</v>
      </c>
    </row>
    <row r="504" spans="27:64">
      <c r="AA504" s="18"/>
      <c r="AB504" s="18"/>
      <c r="AC504" s="18" t="s">
        <v>1671</v>
      </c>
      <c r="AD504" s="18"/>
      <c r="AE504" s="18"/>
      <c r="BK504" s="18" t="s">
        <v>3501</v>
      </c>
      <c r="BL504" s="18">
        <v>3</v>
      </c>
    </row>
    <row r="505" spans="27:64">
      <c r="AA505" s="18"/>
      <c r="AB505" s="18"/>
      <c r="AC505" s="18" t="s">
        <v>1672</v>
      </c>
      <c r="AD505" s="18"/>
      <c r="AE505" s="18"/>
      <c r="BK505" s="18" t="s">
        <v>3549</v>
      </c>
      <c r="BL505" s="18">
        <v>3</v>
      </c>
    </row>
    <row r="506" spans="27:64">
      <c r="AA506" s="18"/>
      <c r="AB506" s="18"/>
      <c r="AC506" s="18" t="s">
        <v>1673</v>
      </c>
      <c r="AD506" s="18"/>
      <c r="AE506" s="18"/>
      <c r="BK506" s="18" t="s">
        <v>3225</v>
      </c>
      <c r="BL506" s="18">
        <v>3</v>
      </c>
    </row>
    <row r="507" spans="27:64">
      <c r="AA507" s="18"/>
      <c r="AB507" s="18"/>
      <c r="AC507" s="18" t="s">
        <v>1674</v>
      </c>
      <c r="AD507" s="18"/>
      <c r="AE507" s="18"/>
      <c r="BK507" s="18" t="s">
        <v>3585</v>
      </c>
      <c r="BL507" s="18">
        <v>3</v>
      </c>
    </row>
    <row r="508" spans="27:64">
      <c r="AA508" s="18"/>
      <c r="AB508" s="18"/>
      <c r="AC508" s="18" t="s">
        <v>1675</v>
      </c>
      <c r="AD508" s="18"/>
      <c r="AE508" s="18"/>
      <c r="BK508" s="18" t="s">
        <v>3369</v>
      </c>
      <c r="BL508" s="18">
        <v>3</v>
      </c>
    </row>
    <row r="509" spans="27:64">
      <c r="AA509" s="18"/>
      <c r="AB509" s="18"/>
      <c r="AC509" s="18" t="s">
        <v>1676</v>
      </c>
      <c r="AD509" s="18"/>
      <c r="AE509" s="18"/>
      <c r="BK509" s="18" t="s">
        <v>3621</v>
      </c>
      <c r="BL509" s="18">
        <v>3</v>
      </c>
    </row>
    <row r="510" spans="27:64">
      <c r="AA510" s="18"/>
      <c r="AB510" s="18"/>
      <c r="AC510" s="18" t="s">
        <v>1677</v>
      </c>
      <c r="AD510" s="18"/>
      <c r="AE510" s="18"/>
      <c r="BK510" s="18" t="s">
        <v>3297</v>
      </c>
      <c r="BL510" s="18">
        <v>3</v>
      </c>
    </row>
    <row r="511" spans="27:64">
      <c r="AA511" s="18"/>
      <c r="AB511" s="18"/>
      <c r="AC511" s="18" t="s">
        <v>1678</v>
      </c>
      <c r="AD511" s="18"/>
      <c r="AE511" s="18"/>
      <c r="BK511" s="18" t="s">
        <v>3405</v>
      </c>
      <c r="BL511" s="18">
        <v>3</v>
      </c>
    </row>
    <row r="512" spans="27:64">
      <c r="AA512" s="18"/>
      <c r="AB512" s="18"/>
      <c r="AC512" s="18" t="s">
        <v>1679</v>
      </c>
      <c r="AD512" s="18"/>
      <c r="AE512" s="18"/>
      <c r="BK512" s="18" t="s">
        <v>3261</v>
      </c>
      <c r="BL512" s="18">
        <v>3</v>
      </c>
    </row>
    <row r="513" spans="27:64">
      <c r="AA513" s="18"/>
      <c r="AB513" s="18"/>
      <c r="AC513" s="18" t="s">
        <v>1680</v>
      </c>
      <c r="AD513" s="18"/>
      <c r="AE513" s="18"/>
      <c r="BK513" s="18" t="s">
        <v>3333</v>
      </c>
      <c r="BL513" s="18">
        <v>3</v>
      </c>
    </row>
    <row r="514" spans="27:64">
      <c r="AA514" s="18"/>
      <c r="AB514" s="18"/>
      <c r="AC514" s="18" t="s">
        <v>1681</v>
      </c>
      <c r="AD514" s="18"/>
      <c r="AE514" s="18"/>
      <c r="BK514" s="18" t="s">
        <v>3477</v>
      </c>
      <c r="BL514" s="18">
        <v>3</v>
      </c>
    </row>
    <row r="515" spans="27:64">
      <c r="AA515" s="18"/>
      <c r="AB515" s="18"/>
      <c r="AC515" s="18" t="s">
        <v>1682</v>
      </c>
      <c r="AD515" s="18"/>
      <c r="AE515" s="18"/>
      <c r="BK515" s="18" t="s">
        <v>3657</v>
      </c>
      <c r="BL515" s="18">
        <v>3</v>
      </c>
    </row>
    <row r="516" spans="27:64">
      <c r="AA516" s="18"/>
      <c r="AB516" s="18"/>
      <c r="AC516" s="18" t="s">
        <v>1683</v>
      </c>
      <c r="AD516" s="18"/>
      <c r="AE516" s="18"/>
      <c r="BK516" s="18" t="s">
        <v>3441</v>
      </c>
      <c r="BL516" s="18">
        <v>3</v>
      </c>
    </row>
    <row r="517" spans="27:64">
      <c r="AA517" s="18"/>
      <c r="AB517" s="18"/>
      <c r="AC517" s="18" t="s">
        <v>1683</v>
      </c>
      <c r="AD517" s="18"/>
      <c r="AE517" s="18"/>
      <c r="BK517" s="18" t="s">
        <v>3513</v>
      </c>
      <c r="BL517" s="18">
        <v>3</v>
      </c>
    </row>
    <row r="518" spans="27:64">
      <c r="AA518" s="18"/>
      <c r="AB518" s="18"/>
      <c r="AC518" s="18" t="s">
        <v>1684</v>
      </c>
      <c r="AD518" s="18"/>
      <c r="AE518" s="18"/>
      <c r="BK518" s="18" t="s">
        <v>3521</v>
      </c>
      <c r="BL518" s="18">
        <v>3</v>
      </c>
    </row>
    <row r="519" spans="27:64">
      <c r="AA519" s="18"/>
      <c r="AB519" s="18"/>
      <c r="AC519" s="18" t="s">
        <v>1685</v>
      </c>
      <c r="AD519" s="18"/>
      <c r="AE519" s="18"/>
      <c r="BK519" s="18" t="s">
        <v>3197</v>
      </c>
      <c r="BL519" s="18">
        <v>3</v>
      </c>
    </row>
    <row r="520" spans="27:64">
      <c r="AA520" s="18"/>
      <c r="AB520" s="18"/>
      <c r="AC520" s="18" t="s">
        <v>1686</v>
      </c>
      <c r="AD520" s="18"/>
      <c r="AE520" s="18"/>
      <c r="BK520" s="18" t="s">
        <v>3557</v>
      </c>
      <c r="BL520" s="18">
        <v>3</v>
      </c>
    </row>
    <row r="521" spans="27:64">
      <c r="AA521" s="18"/>
      <c r="AB521" s="18"/>
      <c r="AC521" s="18" t="s">
        <v>1686</v>
      </c>
      <c r="AD521" s="18"/>
      <c r="AE521" s="18"/>
      <c r="BK521" s="18" t="s">
        <v>3341</v>
      </c>
      <c r="BL521" s="18">
        <v>3</v>
      </c>
    </row>
    <row r="522" spans="27:64">
      <c r="AA522" s="18"/>
      <c r="AB522" s="18"/>
      <c r="AC522" s="18" t="s">
        <v>1687</v>
      </c>
      <c r="AD522" s="18"/>
      <c r="AE522" s="18"/>
      <c r="BK522" s="18" t="s">
        <v>3593</v>
      </c>
      <c r="BL522" s="18">
        <v>3</v>
      </c>
    </row>
    <row r="523" spans="27:64">
      <c r="AA523" s="18"/>
      <c r="AB523" s="18"/>
      <c r="AC523" s="18" t="s">
        <v>1688</v>
      </c>
      <c r="AD523" s="18"/>
      <c r="AE523" s="18"/>
      <c r="BK523" s="18" t="s">
        <v>3269</v>
      </c>
      <c r="BL523" s="18">
        <v>3</v>
      </c>
    </row>
    <row r="524" spans="27:64">
      <c r="AA524" s="18"/>
      <c r="AB524" s="18"/>
      <c r="AC524" s="18" t="s">
        <v>1689</v>
      </c>
      <c r="AD524" s="18"/>
      <c r="AE524" s="18"/>
      <c r="BK524" s="18" t="s">
        <v>3377</v>
      </c>
      <c r="BL524" s="18">
        <v>3</v>
      </c>
    </row>
    <row r="525" spans="27:64">
      <c r="AA525" s="18"/>
      <c r="AB525" s="18"/>
      <c r="AC525" s="18" t="s">
        <v>1690</v>
      </c>
      <c r="AD525" s="18"/>
      <c r="AE525" s="18"/>
      <c r="BK525" s="18" t="s">
        <v>3233</v>
      </c>
      <c r="BL525" s="18">
        <v>3</v>
      </c>
    </row>
    <row r="526" spans="27:64">
      <c r="AA526" s="18"/>
      <c r="AB526" s="18"/>
      <c r="AC526" s="18" t="s">
        <v>1691</v>
      </c>
      <c r="AD526" s="18"/>
      <c r="AE526" s="18"/>
      <c r="BK526" s="18" t="s">
        <v>3305</v>
      </c>
      <c r="BL526" s="18">
        <v>3</v>
      </c>
    </row>
    <row r="527" spans="27:64">
      <c r="AA527" s="18"/>
      <c r="AB527" s="18"/>
      <c r="AC527" s="18" t="s">
        <v>1692</v>
      </c>
      <c r="AD527" s="18"/>
      <c r="AE527" s="18"/>
      <c r="BK527" s="18" t="s">
        <v>3449</v>
      </c>
      <c r="BL527" s="18">
        <v>3</v>
      </c>
    </row>
    <row r="528" spans="27:64">
      <c r="AA528" s="18"/>
      <c r="AB528" s="18"/>
      <c r="AC528" s="18" t="s">
        <v>1697</v>
      </c>
      <c r="AD528" s="18"/>
      <c r="AE528" s="18"/>
      <c r="BK528" s="18" t="s">
        <v>3629</v>
      </c>
      <c r="BL528" s="18">
        <v>3</v>
      </c>
    </row>
    <row r="529" spans="27:64">
      <c r="AA529" s="18"/>
      <c r="AB529" s="18"/>
      <c r="AC529" s="18" t="s">
        <v>1698</v>
      </c>
      <c r="AD529" s="18"/>
      <c r="AE529" s="18"/>
      <c r="BK529" s="18" t="s">
        <v>3413</v>
      </c>
      <c r="BL529" s="18">
        <v>3</v>
      </c>
    </row>
    <row r="530" spans="27:64">
      <c r="AA530" s="18"/>
      <c r="AB530" s="18"/>
      <c r="AC530" s="18" t="s">
        <v>1699</v>
      </c>
      <c r="AD530" s="18"/>
      <c r="AE530" s="18"/>
      <c r="BK530" s="18" t="s">
        <v>3485</v>
      </c>
      <c r="BL530" s="18">
        <v>3</v>
      </c>
    </row>
    <row r="531" spans="27:64">
      <c r="AA531" s="18"/>
      <c r="AB531" s="18"/>
      <c r="AC531" s="18" t="s">
        <v>1699</v>
      </c>
      <c r="AD531" s="18"/>
      <c r="AE531" s="18"/>
      <c r="BK531" s="18" t="s">
        <v>3531</v>
      </c>
      <c r="BL531" s="18">
        <v>3</v>
      </c>
    </row>
    <row r="532" spans="27:64">
      <c r="AA532" s="18"/>
      <c r="AB532" s="18"/>
      <c r="AC532" s="18" t="s">
        <v>1700</v>
      </c>
      <c r="AD532" s="18"/>
      <c r="AE532" s="18"/>
      <c r="BK532" s="18" t="s">
        <v>3207</v>
      </c>
      <c r="BL532" s="18">
        <v>3</v>
      </c>
    </row>
    <row r="533" spans="27:64">
      <c r="AA533" s="18"/>
      <c r="AB533" s="18"/>
      <c r="AC533" s="18" t="s">
        <v>1701</v>
      </c>
      <c r="AD533" s="18"/>
      <c r="AE533" s="18"/>
      <c r="BK533" s="18" t="s">
        <v>3567</v>
      </c>
      <c r="BL533" s="18">
        <v>3</v>
      </c>
    </row>
    <row r="534" spans="27:64">
      <c r="AA534" s="18"/>
      <c r="AB534" s="18"/>
      <c r="AC534" s="18" t="s">
        <v>1702</v>
      </c>
      <c r="AD534" s="18"/>
      <c r="AE534" s="18"/>
      <c r="BK534" s="18" t="s">
        <v>3351</v>
      </c>
      <c r="BL534" s="18">
        <v>3</v>
      </c>
    </row>
    <row r="535" spans="27:64">
      <c r="AA535" s="18"/>
      <c r="AB535" s="18"/>
      <c r="AC535" s="18" t="s">
        <v>1703</v>
      </c>
      <c r="AD535" s="18"/>
      <c r="AE535" s="18"/>
      <c r="BK535" s="18" t="s">
        <v>3603</v>
      </c>
      <c r="BL535" s="18">
        <v>3</v>
      </c>
    </row>
    <row r="536" spans="27:64">
      <c r="AA536" s="18"/>
      <c r="AB536" s="18"/>
      <c r="AC536" s="18" t="s">
        <v>1704</v>
      </c>
      <c r="AD536" s="18"/>
      <c r="AE536" s="18"/>
      <c r="BK536" s="18" t="s">
        <v>3279</v>
      </c>
      <c r="BL536" s="18">
        <v>3</v>
      </c>
    </row>
    <row r="537" spans="27:64">
      <c r="AA537" s="18"/>
      <c r="AB537" s="18"/>
      <c r="AC537" s="18" t="s">
        <v>1705</v>
      </c>
      <c r="AD537" s="18"/>
      <c r="AE537" s="18"/>
      <c r="BK537" s="18" t="s">
        <v>3387</v>
      </c>
      <c r="BL537" s="18">
        <v>3</v>
      </c>
    </row>
    <row r="538" spans="27:64">
      <c r="AA538" s="18"/>
      <c r="AB538" s="18"/>
      <c r="AC538" s="18" t="s">
        <v>1706</v>
      </c>
      <c r="AD538" s="18"/>
      <c r="AE538" s="18"/>
      <c r="BK538" s="18" t="s">
        <v>3243</v>
      </c>
      <c r="BL538" s="18">
        <v>3</v>
      </c>
    </row>
    <row r="539" spans="27:64">
      <c r="AA539" s="18"/>
      <c r="AB539" s="18"/>
      <c r="AC539" s="18" t="s">
        <v>1707</v>
      </c>
      <c r="AD539" s="18"/>
      <c r="AE539" s="18"/>
      <c r="BK539" s="18" t="s">
        <v>3315</v>
      </c>
      <c r="BL539" s="18">
        <v>3</v>
      </c>
    </row>
    <row r="540" spans="27:64">
      <c r="AA540" s="18"/>
      <c r="AB540" s="18"/>
      <c r="AC540" s="18" t="s">
        <v>1708</v>
      </c>
      <c r="AD540" s="18"/>
      <c r="AE540" s="18"/>
      <c r="BK540" s="18" t="s">
        <v>3459</v>
      </c>
      <c r="BL540" s="18">
        <v>3</v>
      </c>
    </row>
    <row r="541" spans="27:64">
      <c r="AA541" s="18"/>
      <c r="AB541" s="18"/>
      <c r="AC541" s="18" t="s">
        <v>1709</v>
      </c>
      <c r="AD541" s="18"/>
      <c r="AE541" s="18"/>
      <c r="BK541" s="18" t="s">
        <v>3639</v>
      </c>
      <c r="BL541" s="18">
        <v>3</v>
      </c>
    </row>
    <row r="542" spans="27:64">
      <c r="AA542" s="18"/>
      <c r="AB542" s="18"/>
      <c r="AC542" s="18" t="s">
        <v>1710</v>
      </c>
      <c r="AD542" s="18"/>
      <c r="AE542" s="18"/>
      <c r="BK542" s="18" t="s">
        <v>3423</v>
      </c>
      <c r="BL542" s="18">
        <v>3</v>
      </c>
    </row>
    <row r="543" spans="27:64">
      <c r="AA543" s="18"/>
      <c r="AB543" s="18"/>
      <c r="AC543" s="18" t="s">
        <v>1711</v>
      </c>
      <c r="AD543" s="18"/>
      <c r="AE543" s="18"/>
      <c r="BK543" s="18" t="s">
        <v>3495</v>
      </c>
      <c r="BL543" s="18">
        <v>3</v>
      </c>
    </row>
    <row r="544" spans="27:64">
      <c r="AA544" s="18"/>
      <c r="AB544" s="18"/>
      <c r="AC544" s="18" t="s">
        <v>1712</v>
      </c>
      <c r="AD544" s="18"/>
      <c r="AE544" s="18"/>
      <c r="BK544" s="18" t="s">
        <v>3525</v>
      </c>
      <c r="BL544" s="18">
        <v>3</v>
      </c>
    </row>
    <row r="545" spans="27:64">
      <c r="AA545" s="18"/>
      <c r="AB545" s="18"/>
      <c r="AC545" s="18" t="s">
        <v>1713</v>
      </c>
      <c r="AD545" s="18"/>
      <c r="AE545" s="18"/>
      <c r="BK545" s="18" t="s">
        <v>3201</v>
      </c>
      <c r="BL545" s="18">
        <v>3</v>
      </c>
    </row>
    <row r="546" spans="27:64">
      <c r="AA546" s="18"/>
      <c r="AB546" s="18"/>
      <c r="AC546" s="18" t="s">
        <v>1715</v>
      </c>
      <c r="AD546" s="18"/>
      <c r="AE546" s="18"/>
      <c r="BK546" s="18" t="s">
        <v>3561</v>
      </c>
      <c r="BL546" s="18">
        <v>3</v>
      </c>
    </row>
    <row r="547" spans="27:64">
      <c r="AA547" s="18"/>
      <c r="AB547" s="18"/>
      <c r="AC547" s="18" t="s">
        <v>1714</v>
      </c>
      <c r="AD547" s="18"/>
      <c r="AE547" s="18"/>
      <c r="BK547" s="18" t="s">
        <v>3345</v>
      </c>
      <c r="BL547" s="18">
        <v>3</v>
      </c>
    </row>
    <row r="548" spans="27:64">
      <c r="AA548" s="18"/>
      <c r="AB548" s="18"/>
      <c r="AC548" s="18" t="s">
        <v>1716</v>
      </c>
      <c r="AD548" s="18"/>
      <c r="AE548" s="18"/>
      <c r="BK548" s="18" t="s">
        <v>3597</v>
      </c>
      <c r="BL548" s="18">
        <v>3</v>
      </c>
    </row>
    <row r="549" spans="27:64">
      <c r="AA549" s="18"/>
      <c r="AB549" s="18"/>
      <c r="AC549" s="18" t="s">
        <v>1717</v>
      </c>
      <c r="AD549" s="18"/>
      <c r="AE549" s="18"/>
      <c r="BK549" s="18" t="s">
        <v>3273</v>
      </c>
      <c r="BL549" s="18">
        <v>3</v>
      </c>
    </row>
    <row r="550" spans="27:64">
      <c r="AA550" s="18"/>
      <c r="AB550" s="18"/>
      <c r="AC550" s="18" t="s">
        <v>1718</v>
      </c>
      <c r="AD550" s="18"/>
      <c r="AE550" s="18"/>
      <c r="BK550" s="18" t="s">
        <v>3381</v>
      </c>
      <c r="BL550" s="18">
        <v>3</v>
      </c>
    </row>
    <row r="551" spans="27:64">
      <c r="AA551" s="18"/>
      <c r="AB551" s="18"/>
      <c r="AC551" s="18" t="s">
        <v>1719</v>
      </c>
      <c r="AD551" s="18"/>
      <c r="AE551" s="18"/>
      <c r="BK551" s="18" t="s">
        <v>3237</v>
      </c>
      <c r="BL551" s="18">
        <v>3</v>
      </c>
    </row>
    <row r="552" spans="27:64">
      <c r="AA552" s="18"/>
      <c r="AB552" s="18"/>
      <c r="AC552" s="18" t="s">
        <v>1720</v>
      </c>
      <c r="AD552" s="18"/>
      <c r="AE552" s="18"/>
      <c r="BK552" s="18" t="s">
        <v>3309</v>
      </c>
      <c r="BL552" s="18">
        <v>3</v>
      </c>
    </row>
    <row r="553" spans="27:64">
      <c r="AA553" s="18"/>
      <c r="AB553" s="18"/>
      <c r="AC553" s="18" t="s">
        <v>1721</v>
      </c>
      <c r="AD553" s="18"/>
      <c r="AE553" s="18"/>
      <c r="BK553" s="18" t="s">
        <v>3453</v>
      </c>
      <c r="BL553" s="18">
        <v>3</v>
      </c>
    </row>
    <row r="554" spans="27:64">
      <c r="AA554" s="18"/>
      <c r="AB554" s="18"/>
      <c r="AC554" s="18" t="s">
        <v>1722</v>
      </c>
      <c r="AD554" s="18"/>
      <c r="AE554" s="18"/>
      <c r="BK554" s="18" t="s">
        <v>3633</v>
      </c>
      <c r="BL554" s="18">
        <v>3</v>
      </c>
    </row>
    <row r="555" spans="27:64">
      <c r="AA555" s="18"/>
      <c r="AB555" s="18"/>
      <c r="AC555" s="18" t="s">
        <v>1723</v>
      </c>
      <c r="AD555" s="18"/>
      <c r="AE555" s="18"/>
      <c r="BK555" s="18" t="s">
        <v>3417</v>
      </c>
      <c r="BL555" s="18">
        <v>3</v>
      </c>
    </row>
    <row r="556" spans="27:64">
      <c r="AA556" s="18"/>
      <c r="AB556" s="18"/>
      <c r="AC556" s="18" t="s">
        <v>1724</v>
      </c>
      <c r="AD556" s="18"/>
      <c r="AE556" s="18"/>
      <c r="BK556" s="18" t="s">
        <v>3489</v>
      </c>
      <c r="BL556" s="18">
        <v>3</v>
      </c>
    </row>
    <row r="557" spans="27:64">
      <c r="AA557" s="18"/>
      <c r="AB557" s="18"/>
      <c r="AC557" s="18" t="s">
        <v>1725</v>
      </c>
      <c r="AD557" s="18"/>
      <c r="AE557" s="18"/>
      <c r="BK557" s="18" t="s">
        <v>3550</v>
      </c>
      <c r="BL557" s="18">
        <v>3</v>
      </c>
    </row>
    <row r="558" spans="27:64">
      <c r="AA558" s="18"/>
      <c r="AB558" s="18"/>
      <c r="AC558" s="18" t="s">
        <v>1726</v>
      </c>
      <c r="AD558" s="18"/>
      <c r="AE558" s="18"/>
      <c r="BK558" s="18" t="s">
        <v>3226</v>
      </c>
      <c r="BL558" s="18">
        <v>3</v>
      </c>
    </row>
    <row r="559" spans="27:64">
      <c r="AA559" s="18"/>
      <c r="AB559" s="18"/>
      <c r="AC559" s="18" t="s">
        <v>1727</v>
      </c>
      <c r="AD559" s="18"/>
      <c r="AE559" s="18"/>
      <c r="BK559" s="18" t="s">
        <v>3586</v>
      </c>
      <c r="BL559" s="18">
        <v>3</v>
      </c>
    </row>
    <row r="560" spans="27:64">
      <c r="AA560" s="18"/>
      <c r="AB560" s="18"/>
      <c r="AC560" s="18" t="s">
        <v>1728</v>
      </c>
      <c r="AD560" s="18"/>
      <c r="AE560" s="18"/>
      <c r="BK560" s="18" t="s">
        <v>3370</v>
      </c>
      <c r="BL560" s="18">
        <v>3</v>
      </c>
    </row>
    <row r="561" spans="27:64">
      <c r="AA561" s="18"/>
      <c r="AB561" s="18"/>
      <c r="AC561" s="18" t="s">
        <v>1729</v>
      </c>
      <c r="AD561" s="18"/>
      <c r="AE561" s="18"/>
      <c r="BK561" s="18" t="s">
        <v>3622</v>
      </c>
      <c r="BL561" s="18">
        <v>3</v>
      </c>
    </row>
    <row r="562" spans="27:64">
      <c r="AA562" s="18"/>
      <c r="AB562" s="18"/>
      <c r="AC562" s="18" t="s">
        <v>1730</v>
      </c>
      <c r="AD562" s="18"/>
      <c r="AE562" s="18"/>
      <c r="BK562" s="18" t="s">
        <v>3298</v>
      </c>
      <c r="BL562" s="18">
        <v>3</v>
      </c>
    </row>
    <row r="563" spans="27:64">
      <c r="AA563" s="18"/>
      <c r="AB563" s="18"/>
      <c r="AC563" s="18" t="s">
        <v>1731</v>
      </c>
      <c r="AD563" s="18"/>
      <c r="AE563" s="18"/>
      <c r="BK563" s="18" t="s">
        <v>3406</v>
      </c>
      <c r="BL563" s="18">
        <v>3</v>
      </c>
    </row>
    <row r="564" spans="27:64">
      <c r="AA564" s="18"/>
      <c r="AB564" s="18"/>
      <c r="AC564" s="18" t="s">
        <v>1732</v>
      </c>
      <c r="AD564" s="18"/>
      <c r="AE564" s="18"/>
      <c r="BK564" s="18" t="s">
        <v>3262</v>
      </c>
      <c r="BL564" s="18">
        <v>3</v>
      </c>
    </row>
    <row r="565" spans="27:64">
      <c r="AA565" s="18"/>
      <c r="AB565" s="18"/>
      <c r="AC565" s="18" t="s">
        <v>1733</v>
      </c>
      <c r="AD565" s="18"/>
      <c r="AE565" s="18"/>
      <c r="BK565" s="18" t="s">
        <v>3334</v>
      </c>
      <c r="BL565" s="18">
        <v>3</v>
      </c>
    </row>
    <row r="566" spans="27:64">
      <c r="AA566" s="18"/>
      <c r="AB566" s="18"/>
      <c r="AC566" s="18" t="s">
        <v>1734</v>
      </c>
      <c r="AD566" s="18"/>
      <c r="AE566" s="18"/>
      <c r="BK566" s="18" t="s">
        <v>3478</v>
      </c>
      <c r="BL566" s="18">
        <v>3</v>
      </c>
    </row>
    <row r="567" spans="27:64">
      <c r="AA567" s="18"/>
      <c r="AB567" s="18"/>
      <c r="AC567" s="18" t="s">
        <v>1735</v>
      </c>
      <c r="AD567" s="18"/>
      <c r="AE567" s="18"/>
      <c r="BK567" s="18" t="s">
        <v>3658</v>
      </c>
      <c r="BL567" s="18">
        <v>3</v>
      </c>
    </row>
    <row r="568" spans="27:64">
      <c r="AA568" s="18"/>
      <c r="AB568" s="18"/>
      <c r="AC568" s="18" t="s">
        <v>1736</v>
      </c>
      <c r="AD568" s="18"/>
      <c r="AE568" s="18"/>
      <c r="BK568" s="18" t="s">
        <v>3442</v>
      </c>
      <c r="BL568" s="18">
        <v>3</v>
      </c>
    </row>
    <row r="569" spans="27:64">
      <c r="AA569" s="18"/>
      <c r="AB569" s="18"/>
      <c r="AC569" s="18" t="s">
        <v>1737</v>
      </c>
      <c r="AD569" s="18"/>
      <c r="AE569" s="18"/>
      <c r="BK569" s="18" t="s">
        <v>3514</v>
      </c>
      <c r="BL569" s="18">
        <v>3</v>
      </c>
    </row>
    <row r="570" spans="27:64">
      <c r="AA570" s="18"/>
      <c r="AB570" s="18"/>
      <c r="AC570" s="18" t="s">
        <v>1738</v>
      </c>
      <c r="AD570" s="18"/>
      <c r="AE570" s="18"/>
      <c r="BK570" s="18" t="s">
        <v>3526</v>
      </c>
      <c r="BL570" s="18">
        <v>3</v>
      </c>
    </row>
    <row r="571" spans="27:64">
      <c r="AA571" s="18"/>
      <c r="AB571" s="18"/>
      <c r="AC571" s="18" t="s">
        <v>1739</v>
      </c>
      <c r="AD571" s="18"/>
      <c r="AE571" s="18"/>
      <c r="BK571" s="18" t="s">
        <v>3202</v>
      </c>
      <c r="BL571" s="18">
        <v>3</v>
      </c>
    </row>
    <row r="572" spans="27:64">
      <c r="AA572" s="18"/>
      <c r="AB572" s="18"/>
      <c r="AC572" s="18" t="s">
        <v>1740</v>
      </c>
      <c r="AD572" s="18"/>
      <c r="AE572" s="18"/>
      <c r="BK572" s="18" t="s">
        <v>3562</v>
      </c>
      <c r="BL572" s="18">
        <v>3</v>
      </c>
    </row>
    <row r="573" spans="27:64">
      <c r="AA573" s="18"/>
      <c r="AB573" s="18"/>
      <c r="AC573" s="18" t="s">
        <v>1741</v>
      </c>
      <c r="AD573" s="18"/>
      <c r="AE573" s="18"/>
      <c r="BK573" s="18" t="s">
        <v>3346</v>
      </c>
      <c r="BL573" s="18">
        <v>3</v>
      </c>
    </row>
    <row r="574" spans="27:64">
      <c r="AA574" s="18"/>
      <c r="AB574" s="18"/>
      <c r="AC574" s="18" t="s">
        <v>1742</v>
      </c>
      <c r="AD574" s="18"/>
      <c r="AE574" s="18"/>
      <c r="BK574" s="18" t="s">
        <v>3598</v>
      </c>
      <c r="BL574" s="18">
        <v>3</v>
      </c>
    </row>
    <row r="575" spans="27:64">
      <c r="AA575" s="18"/>
      <c r="AB575" s="18"/>
      <c r="AC575" s="18" t="s">
        <v>1743</v>
      </c>
      <c r="AD575" s="18"/>
      <c r="AE575" s="18"/>
      <c r="BK575" s="18" t="s">
        <v>3274</v>
      </c>
      <c r="BL575" s="18">
        <v>3</v>
      </c>
    </row>
    <row r="576" spans="27:64">
      <c r="BK576" s="18" t="s">
        <v>3382</v>
      </c>
      <c r="BL576" s="18">
        <v>3</v>
      </c>
    </row>
    <row r="577" spans="63:64">
      <c r="BK577" s="18" t="s">
        <v>3238</v>
      </c>
      <c r="BL577" s="18">
        <v>3</v>
      </c>
    </row>
    <row r="578" spans="63:64">
      <c r="BK578" s="18" t="s">
        <v>3310</v>
      </c>
      <c r="BL578" s="18">
        <v>3</v>
      </c>
    </row>
    <row r="579" spans="63:64">
      <c r="BK579" s="18" t="s">
        <v>3454</v>
      </c>
      <c r="BL579" s="18">
        <v>3</v>
      </c>
    </row>
    <row r="580" spans="63:64">
      <c r="BK580" s="18" t="s">
        <v>3634</v>
      </c>
      <c r="BL580" s="18">
        <v>3</v>
      </c>
    </row>
    <row r="581" spans="63:64">
      <c r="BK581" s="18" t="s">
        <v>3418</v>
      </c>
      <c r="BL581" s="18">
        <v>3</v>
      </c>
    </row>
    <row r="582" spans="63:64">
      <c r="BK582" s="18" t="s">
        <v>3490</v>
      </c>
      <c r="BL582" s="18">
        <v>3</v>
      </c>
    </row>
    <row r="583" spans="63:64">
      <c r="BK583" s="18" t="s">
        <v>3538</v>
      </c>
      <c r="BL583" s="18">
        <v>3</v>
      </c>
    </row>
    <row r="584" spans="63:64">
      <c r="BK584" s="18" t="s">
        <v>3214</v>
      </c>
      <c r="BL584" s="18">
        <v>3</v>
      </c>
    </row>
    <row r="585" spans="63:64">
      <c r="BK585" s="18" t="s">
        <v>3574</v>
      </c>
      <c r="BL585" s="18">
        <v>3</v>
      </c>
    </row>
    <row r="586" spans="63:64">
      <c r="BK586" s="18" t="s">
        <v>3358</v>
      </c>
      <c r="BL586" s="18">
        <v>3</v>
      </c>
    </row>
    <row r="587" spans="63:64">
      <c r="BK587" s="18" t="s">
        <v>3610</v>
      </c>
      <c r="BL587" s="18">
        <v>3</v>
      </c>
    </row>
    <row r="588" spans="63:64">
      <c r="BK588" s="18" t="s">
        <v>3286</v>
      </c>
      <c r="BL588" s="18">
        <v>3</v>
      </c>
    </row>
    <row r="589" spans="63:64">
      <c r="BK589" s="18" t="s">
        <v>3394</v>
      </c>
      <c r="BL589" s="18">
        <v>3</v>
      </c>
    </row>
    <row r="590" spans="63:64">
      <c r="BK590" s="18" t="s">
        <v>3250</v>
      </c>
      <c r="BL590" s="18">
        <v>3</v>
      </c>
    </row>
    <row r="591" spans="63:64">
      <c r="BK591" s="18" t="s">
        <v>3322</v>
      </c>
      <c r="BL591" s="18">
        <v>3</v>
      </c>
    </row>
    <row r="592" spans="63:64">
      <c r="BK592" s="18" t="s">
        <v>3466</v>
      </c>
      <c r="BL592" s="18">
        <v>3</v>
      </c>
    </row>
    <row r="593" spans="63:64">
      <c r="BK593" s="18" t="s">
        <v>3646</v>
      </c>
      <c r="BL593" s="18">
        <v>3</v>
      </c>
    </row>
    <row r="594" spans="63:64">
      <c r="BK594" s="18" t="s">
        <v>3430</v>
      </c>
      <c r="BL594" s="18">
        <v>3</v>
      </c>
    </row>
    <row r="595" spans="63:64">
      <c r="BK595" s="18" t="s">
        <v>3502</v>
      </c>
      <c r="BL595" s="18">
        <v>3</v>
      </c>
    </row>
    <row r="596" spans="63:64">
      <c r="BK596" s="18" t="s">
        <v>3524</v>
      </c>
      <c r="BL596" s="18">
        <v>3</v>
      </c>
    </row>
    <row r="597" spans="63:64">
      <c r="BK597" s="18" t="s">
        <v>3200</v>
      </c>
      <c r="BL597" s="18">
        <v>3</v>
      </c>
    </row>
    <row r="598" spans="63:64">
      <c r="BK598" s="18" t="s">
        <v>3560</v>
      </c>
      <c r="BL598" s="18">
        <v>3</v>
      </c>
    </row>
    <row r="599" spans="63:64">
      <c r="BK599" s="18" t="s">
        <v>3344</v>
      </c>
      <c r="BL599" s="18">
        <v>3</v>
      </c>
    </row>
    <row r="600" spans="63:64">
      <c r="BK600" s="18" t="s">
        <v>3596</v>
      </c>
      <c r="BL600" s="18">
        <v>3</v>
      </c>
    </row>
    <row r="601" spans="63:64">
      <c r="BK601" s="18" t="s">
        <v>3272</v>
      </c>
      <c r="BL601" s="18">
        <v>3</v>
      </c>
    </row>
    <row r="602" spans="63:64">
      <c r="BK602" s="18" t="s">
        <v>3380</v>
      </c>
      <c r="BL602" s="18">
        <v>3</v>
      </c>
    </row>
    <row r="603" spans="63:64">
      <c r="BK603" s="18" t="s">
        <v>3236</v>
      </c>
      <c r="BL603" s="18">
        <v>3</v>
      </c>
    </row>
    <row r="604" spans="63:64">
      <c r="BK604" s="18" t="s">
        <v>3308</v>
      </c>
      <c r="BL604" s="18">
        <v>3</v>
      </c>
    </row>
    <row r="605" spans="63:64">
      <c r="BK605" s="18" t="s">
        <v>3452</v>
      </c>
      <c r="BL605" s="18">
        <v>3</v>
      </c>
    </row>
    <row r="606" spans="63:64">
      <c r="BK606" s="18" t="s">
        <v>3632</v>
      </c>
      <c r="BL606" s="18">
        <v>3</v>
      </c>
    </row>
    <row r="607" spans="63:64">
      <c r="BK607" s="18" t="s">
        <v>3416</v>
      </c>
      <c r="BL607" s="18">
        <v>3</v>
      </c>
    </row>
    <row r="608" spans="63:64">
      <c r="BK608" s="18" t="s">
        <v>3488</v>
      </c>
      <c r="BL608" s="18">
        <v>3</v>
      </c>
    </row>
    <row r="609" spans="63:64">
      <c r="BK609" s="18" t="s">
        <v>3539</v>
      </c>
      <c r="BL609" s="18">
        <v>3</v>
      </c>
    </row>
    <row r="610" spans="63:64">
      <c r="BK610" s="18" t="s">
        <v>3215</v>
      </c>
      <c r="BL610" s="18">
        <v>3</v>
      </c>
    </row>
    <row r="611" spans="63:64">
      <c r="BK611" s="18" t="s">
        <v>3575</v>
      </c>
      <c r="BL611" s="18">
        <v>3</v>
      </c>
    </row>
    <row r="612" spans="63:64">
      <c r="BK612" s="18" t="s">
        <v>3359</v>
      </c>
      <c r="BL612" s="18">
        <v>3</v>
      </c>
    </row>
    <row r="613" spans="63:64">
      <c r="BK613" s="18" t="s">
        <v>3611</v>
      </c>
      <c r="BL613" s="18">
        <v>3</v>
      </c>
    </row>
    <row r="614" spans="63:64">
      <c r="BK614" s="18" t="s">
        <v>3287</v>
      </c>
      <c r="BL614" s="18">
        <v>3</v>
      </c>
    </row>
    <row r="615" spans="63:64">
      <c r="BK615" s="18" t="s">
        <v>3395</v>
      </c>
      <c r="BL615" s="18">
        <v>3</v>
      </c>
    </row>
    <row r="616" spans="63:64">
      <c r="BK616" s="18" t="s">
        <v>3251</v>
      </c>
      <c r="BL616" s="18">
        <v>3</v>
      </c>
    </row>
    <row r="617" spans="63:64">
      <c r="BK617" s="18" t="s">
        <v>3323</v>
      </c>
      <c r="BL617" s="18">
        <v>3</v>
      </c>
    </row>
    <row r="618" spans="63:64">
      <c r="BK618" s="18" t="s">
        <v>3467</v>
      </c>
      <c r="BL618" s="18">
        <v>3</v>
      </c>
    </row>
    <row r="619" spans="63:64">
      <c r="BK619" s="18" t="s">
        <v>3647</v>
      </c>
      <c r="BL619" s="18">
        <v>3</v>
      </c>
    </row>
    <row r="620" spans="63:64">
      <c r="BK620" s="18" t="s">
        <v>3431</v>
      </c>
      <c r="BL620" s="18">
        <v>3</v>
      </c>
    </row>
    <row r="621" spans="63:64">
      <c r="BK621" s="18" t="s">
        <v>3503</v>
      </c>
      <c r="BL621" s="18">
        <v>3</v>
      </c>
    </row>
    <row r="622" spans="63:64">
      <c r="BK622" s="18" t="s">
        <v>3532</v>
      </c>
      <c r="BL622" s="18">
        <v>3</v>
      </c>
    </row>
    <row r="623" spans="63:64">
      <c r="BK623" s="18" t="s">
        <v>3208</v>
      </c>
      <c r="BL623" s="18">
        <v>3</v>
      </c>
    </row>
    <row r="624" spans="63:64">
      <c r="BK624" s="18" t="s">
        <v>3568</v>
      </c>
      <c r="BL624" s="18">
        <v>3</v>
      </c>
    </row>
    <row r="625" spans="63:64">
      <c r="BK625" s="18" t="s">
        <v>3352</v>
      </c>
      <c r="BL625" s="18">
        <v>3</v>
      </c>
    </row>
    <row r="626" spans="63:64">
      <c r="BK626" s="18" t="s">
        <v>3604</v>
      </c>
      <c r="BL626" s="18">
        <v>3</v>
      </c>
    </row>
    <row r="627" spans="63:64">
      <c r="BK627" s="18" t="s">
        <v>3280</v>
      </c>
      <c r="BL627" s="18">
        <v>3</v>
      </c>
    </row>
    <row r="628" spans="63:64">
      <c r="BK628" s="18" t="s">
        <v>3388</v>
      </c>
      <c r="BL628" s="18">
        <v>3</v>
      </c>
    </row>
    <row r="629" spans="63:64">
      <c r="BK629" s="18" t="s">
        <v>3244</v>
      </c>
      <c r="BL629" s="18">
        <v>3</v>
      </c>
    </row>
    <row r="630" spans="63:64">
      <c r="BK630" s="18" t="s">
        <v>3316</v>
      </c>
      <c r="BL630" s="18">
        <v>3</v>
      </c>
    </row>
    <row r="631" spans="63:64">
      <c r="BK631" s="18" t="s">
        <v>3460</v>
      </c>
      <c r="BL631" s="18">
        <v>3</v>
      </c>
    </row>
    <row r="632" spans="63:64">
      <c r="BK632" s="18" t="s">
        <v>3640</v>
      </c>
      <c r="BL632" s="18">
        <v>3</v>
      </c>
    </row>
    <row r="633" spans="63:64">
      <c r="BK633" s="18" t="s">
        <v>3424</v>
      </c>
      <c r="BL633" s="18">
        <v>3</v>
      </c>
    </row>
    <row r="634" spans="63:64">
      <c r="BK634" s="18" t="s">
        <v>3496</v>
      </c>
      <c r="BL634" s="18">
        <v>3</v>
      </c>
    </row>
    <row r="635" spans="63:64">
      <c r="BK635" s="18" t="s">
        <v>3540</v>
      </c>
      <c r="BL635" s="18">
        <v>3</v>
      </c>
    </row>
    <row r="636" spans="63:64">
      <c r="BK636" s="18" t="s">
        <v>3216</v>
      </c>
      <c r="BL636" s="18">
        <v>3</v>
      </c>
    </row>
    <row r="637" spans="63:64">
      <c r="BK637" s="18" t="s">
        <v>3576</v>
      </c>
      <c r="BL637" s="18">
        <v>3</v>
      </c>
    </row>
    <row r="638" spans="63:64">
      <c r="BK638" s="18" t="s">
        <v>3360</v>
      </c>
      <c r="BL638" s="18">
        <v>3</v>
      </c>
    </row>
    <row r="639" spans="63:64">
      <c r="BK639" s="18" t="s">
        <v>3612</v>
      </c>
      <c r="BL639" s="18">
        <v>3</v>
      </c>
    </row>
    <row r="640" spans="63:64">
      <c r="BK640" s="18" t="s">
        <v>3288</v>
      </c>
      <c r="BL640" s="18">
        <v>3</v>
      </c>
    </row>
    <row r="641" spans="63:64">
      <c r="BK641" s="18" t="s">
        <v>3396</v>
      </c>
      <c r="BL641" s="18">
        <v>3</v>
      </c>
    </row>
    <row r="642" spans="63:64">
      <c r="BK642" s="18" t="s">
        <v>3252</v>
      </c>
      <c r="BL642" s="18">
        <v>3</v>
      </c>
    </row>
    <row r="643" spans="63:64">
      <c r="BK643" s="18" t="s">
        <v>3324</v>
      </c>
      <c r="BL643" s="18">
        <v>3</v>
      </c>
    </row>
    <row r="644" spans="63:64">
      <c r="BK644" s="18" t="s">
        <v>3468</v>
      </c>
      <c r="BL644" s="18">
        <v>3</v>
      </c>
    </row>
    <row r="645" spans="63:64">
      <c r="BK645" s="18" t="s">
        <v>3648</v>
      </c>
      <c r="BL645" s="18">
        <v>3</v>
      </c>
    </row>
    <row r="646" spans="63:64">
      <c r="BK646" s="18" t="s">
        <v>3432</v>
      </c>
      <c r="BL646" s="18">
        <v>3</v>
      </c>
    </row>
    <row r="647" spans="63:64">
      <c r="BK647" s="18" t="s">
        <v>3504</v>
      </c>
      <c r="BL647" s="18">
        <v>3</v>
      </c>
    </row>
    <row r="648" spans="63:64">
      <c r="BK648" s="18" t="s">
        <v>3528</v>
      </c>
      <c r="BL648" s="18">
        <v>3</v>
      </c>
    </row>
    <row r="649" spans="63:64">
      <c r="BK649" s="18" t="s">
        <v>3204</v>
      </c>
      <c r="BL649" s="18">
        <v>3</v>
      </c>
    </row>
    <row r="650" spans="63:64">
      <c r="BK650" s="18" t="s">
        <v>3564</v>
      </c>
      <c r="BL650" s="18">
        <v>3</v>
      </c>
    </row>
    <row r="651" spans="63:64">
      <c r="BK651" s="18" t="s">
        <v>3348</v>
      </c>
      <c r="BL651" s="18">
        <v>3</v>
      </c>
    </row>
    <row r="652" spans="63:64">
      <c r="BK652" s="18" t="s">
        <v>3600</v>
      </c>
      <c r="BL652" s="18">
        <v>3</v>
      </c>
    </row>
    <row r="653" spans="63:64">
      <c r="BK653" s="18" t="s">
        <v>3276</v>
      </c>
      <c r="BL653" s="18">
        <v>3</v>
      </c>
    </row>
    <row r="654" spans="63:64">
      <c r="BK654" s="18" t="s">
        <v>3384</v>
      </c>
      <c r="BL654" s="18">
        <v>3</v>
      </c>
    </row>
    <row r="655" spans="63:64">
      <c r="BK655" s="18" t="s">
        <v>3240</v>
      </c>
      <c r="BL655" s="18">
        <v>3</v>
      </c>
    </row>
    <row r="656" spans="63:64">
      <c r="BK656" s="18" t="s">
        <v>3312</v>
      </c>
      <c r="BL656" s="18">
        <v>3</v>
      </c>
    </row>
    <row r="657" spans="63:64">
      <c r="BK657" s="18" t="s">
        <v>3456</v>
      </c>
      <c r="BL657" s="18">
        <v>3</v>
      </c>
    </row>
    <row r="658" spans="63:64">
      <c r="BK658" s="18" t="s">
        <v>3636</v>
      </c>
      <c r="BL658" s="18">
        <v>3</v>
      </c>
    </row>
    <row r="659" spans="63:64">
      <c r="BK659" s="18" t="s">
        <v>3420</v>
      </c>
      <c r="BL659" s="18">
        <v>3</v>
      </c>
    </row>
    <row r="660" spans="63:64">
      <c r="BK660" s="18" t="s">
        <v>3492</v>
      </c>
      <c r="BL660" s="18">
        <v>3</v>
      </c>
    </row>
    <row r="661" spans="63:64">
      <c r="BK661" s="18" t="s">
        <v>3541</v>
      </c>
      <c r="BL661" s="18">
        <v>3</v>
      </c>
    </row>
    <row r="662" spans="63:64">
      <c r="BK662" s="18" t="s">
        <v>3217</v>
      </c>
      <c r="BL662" s="18">
        <v>3</v>
      </c>
    </row>
    <row r="663" spans="63:64">
      <c r="BK663" s="18" t="s">
        <v>3577</v>
      </c>
      <c r="BL663" s="18">
        <v>3</v>
      </c>
    </row>
    <row r="664" spans="63:64">
      <c r="BK664" s="18" t="s">
        <v>3361</v>
      </c>
      <c r="BL664" s="18">
        <v>3</v>
      </c>
    </row>
    <row r="665" spans="63:64">
      <c r="BK665" s="18" t="s">
        <v>3613</v>
      </c>
      <c r="BL665" s="18">
        <v>3</v>
      </c>
    </row>
    <row r="666" spans="63:64">
      <c r="BK666" s="18" t="s">
        <v>3289</v>
      </c>
      <c r="BL666" s="18">
        <v>3</v>
      </c>
    </row>
    <row r="667" spans="63:64">
      <c r="BK667" s="18" t="s">
        <v>3397</v>
      </c>
      <c r="BL667" s="18">
        <v>3</v>
      </c>
    </row>
    <row r="668" spans="63:64">
      <c r="BK668" s="18" t="s">
        <v>3253</v>
      </c>
      <c r="BL668" s="18">
        <v>3</v>
      </c>
    </row>
    <row r="669" spans="63:64">
      <c r="BK669" s="18" t="s">
        <v>3325</v>
      </c>
      <c r="BL669" s="18">
        <v>3</v>
      </c>
    </row>
    <row r="670" spans="63:64">
      <c r="BK670" s="18" t="s">
        <v>3469</v>
      </c>
      <c r="BL670" s="18">
        <v>3</v>
      </c>
    </row>
    <row r="671" spans="63:64">
      <c r="BK671" s="18" t="s">
        <v>3649</v>
      </c>
      <c r="BL671" s="18">
        <v>3</v>
      </c>
    </row>
    <row r="672" spans="63:64">
      <c r="BK672" s="18" t="s">
        <v>3433</v>
      </c>
      <c r="BL672" s="18">
        <v>3</v>
      </c>
    </row>
    <row r="673" spans="63:64">
      <c r="BK673" s="18" t="s">
        <v>3505</v>
      </c>
      <c r="BL673" s="18">
        <v>3</v>
      </c>
    </row>
    <row r="674" spans="63:64">
      <c r="BK674" s="18" t="s">
        <v>3552</v>
      </c>
      <c r="BL674" s="18">
        <v>3</v>
      </c>
    </row>
    <row r="675" spans="63:64">
      <c r="BK675" s="18" t="s">
        <v>3228</v>
      </c>
      <c r="BL675" s="18">
        <v>3</v>
      </c>
    </row>
    <row r="676" spans="63:64">
      <c r="BK676" s="18" t="s">
        <v>3588</v>
      </c>
      <c r="BL676" s="18">
        <v>3</v>
      </c>
    </row>
    <row r="677" spans="63:64">
      <c r="BK677" s="18" t="s">
        <v>3372</v>
      </c>
      <c r="BL677" s="18">
        <v>3</v>
      </c>
    </row>
    <row r="678" spans="63:64">
      <c r="BK678" s="18" t="s">
        <v>3624</v>
      </c>
      <c r="BL678" s="18">
        <v>3</v>
      </c>
    </row>
    <row r="679" spans="63:64">
      <c r="BK679" s="18" t="s">
        <v>3300</v>
      </c>
      <c r="BL679" s="18">
        <v>3</v>
      </c>
    </row>
    <row r="680" spans="63:64">
      <c r="BK680" s="18" t="s">
        <v>3408</v>
      </c>
      <c r="BL680" s="18">
        <v>3</v>
      </c>
    </row>
    <row r="681" spans="63:64">
      <c r="BK681" s="18" t="s">
        <v>3264</v>
      </c>
      <c r="BL681" s="18">
        <v>3</v>
      </c>
    </row>
    <row r="682" spans="63:64">
      <c r="BK682" s="18" t="s">
        <v>3336</v>
      </c>
      <c r="BL682" s="18">
        <v>3</v>
      </c>
    </row>
    <row r="683" spans="63:64">
      <c r="BK683" s="18" t="s">
        <v>3480</v>
      </c>
      <c r="BL683" s="18">
        <v>3</v>
      </c>
    </row>
    <row r="684" spans="63:64">
      <c r="BK684" s="18" t="s">
        <v>3660</v>
      </c>
      <c r="BL684" s="18">
        <v>3</v>
      </c>
    </row>
    <row r="685" spans="63:64">
      <c r="BK685" s="18" t="s">
        <v>3444</v>
      </c>
      <c r="BL685" s="18">
        <v>3</v>
      </c>
    </row>
    <row r="686" spans="63:64">
      <c r="BK686" s="18" t="s">
        <v>3516</v>
      </c>
      <c r="BL686" s="18">
        <v>3</v>
      </c>
    </row>
    <row r="687" spans="63:64">
      <c r="BK687" s="18" t="s">
        <v>3534</v>
      </c>
      <c r="BL687" s="18">
        <v>3</v>
      </c>
    </row>
    <row r="688" spans="63:64">
      <c r="BK688" s="18" t="s">
        <v>3210</v>
      </c>
      <c r="BL688" s="18">
        <v>3</v>
      </c>
    </row>
    <row r="689" spans="63:64">
      <c r="BK689" s="18" t="s">
        <v>3570</v>
      </c>
      <c r="BL689" s="18">
        <v>3</v>
      </c>
    </row>
    <row r="690" spans="63:64">
      <c r="BK690" s="18" t="s">
        <v>3354</v>
      </c>
      <c r="BL690" s="18">
        <v>3</v>
      </c>
    </row>
    <row r="691" spans="63:64">
      <c r="BK691" s="18" t="s">
        <v>3606</v>
      </c>
      <c r="BL691" s="18">
        <v>3</v>
      </c>
    </row>
    <row r="692" spans="63:64">
      <c r="BK692" s="18" t="s">
        <v>3282</v>
      </c>
      <c r="BL692" s="18">
        <v>3</v>
      </c>
    </row>
    <row r="693" spans="63:64">
      <c r="BK693" s="18" t="s">
        <v>3390</v>
      </c>
      <c r="BL693" s="18">
        <v>3</v>
      </c>
    </row>
    <row r="694" spans="63:64">
      <c r="BK694" s="18" t="s">
        <v>3246</v>
      </c>
      <c r="BL694" s="18">
        <v>3</v>
      </c>
    </row>
    <row r="695" spans="63:64">
      <c r="BK695" s="18" t="s">
        <v>3318</v>
      </c>
      <c r="BL695" s="18">
        <v>3</v>
      </c>
    </row>
    <row r="696" spans="63:64">
      <c r="BK696" s="18" t="s">
        <v>3462</v>
      </c>
      <c r="BL696" s="18">
        <v>3</v>
      </c>
    </row>
    <row r="697" spans="63:64">
      <c r="BK697" s="18" t="s">
        <v>3642</v>
      </c>
      <c r="BL697" s="18">
        <v>3</v>
      </c>
    </row>
    <row r="698" spans="63:64">
      <c r="BK698" s="18" t="s">
        <v>3426</v>
      </c>
      <c r="BL698" s="18">
        <v>3</v>
      </c>
    </row>
    <row r="699" spans="63:64">
      <c r="BK699" s="18" t="s">
        <v>3498</v>
      </c>
      <c r="BL699" s="18">
        <v>3</v>
      </c>
    </row>
    <row r="700" spans="63:64">
      <c r="BK700" s="18" t="s">
        <v>3542</v>
      </c>
      <c r="BL700" s="18">
        <v>3</v>
      </c>
    </row>
    <row r="701" spans="63:64">
      <c r="BK701" s="18" t="s">
        <v>3218</v>
      </c>
      <c r="BL701" s="18">
        <v>3</v>
      </c>
    </row>
    <row r="702" spans="63:64">
      <c r="BK702" s="18" t="s">
        <v>3578</v>
      </c>
      <c r="BL702" s="18">
        <v>3</v>
      </c>
    </row>
    <row r="703" spans="63:64">
      <c r="BK703" s="18" t="s">
        <v>3362</v>
      </c>
      <c r="BL703" s="18">
        <v>3</v>
      </c>
    </row>
    <row r="704" spans="63:64">
      <c r="BK704" s="18" t="s">
        <v>3614</v>
      </c>
      <c r="BL704" s="18">
        <v>3</v>
      </c>
    </row>
    <row r="705" spans="63:64">
      <c r="BK705" s="18" t="s">
        <v>3290</v>
      </c>
      <c r="BL705" s="18">
        <v>3</v>
      </c>
    </row>
    <row r="706" spans="63:64">
      <c r="BK706" s="18" t="s">
        <v>3398</v>
      </c>
      <c r="BL706" s="18">
        <v>3</v>
      </c>
    </row>
    <row r="707" spans="63:64">
      <c r="BK707" s="18" t="s">
        <v>3254</v>
      </c>
      <c r="BL707" s="18">
        <v>3</v>
      </c>
    </row>
    <row r="708" spans="63:64">
      <c r="BK708" s="18" t="s">
        <v>3326</v>
      </c>
      <c r="BL708" s="18">
        <v>3</v>
      </c>
    </row>
    <row r="709" spans="63:64">
      <c r="BK709" s="18" t="s">
        <v>3470</v>
      </c>
      <c r="BL709" s="18">
        <v>3</v>
      </c>
    </row>
    <row r="710" spans="63:64">
      <c r="BK710" s="18" t="s">
        <v>3650</v>
      </c>
      <c r="BL710" s="18">
        <v>3</v>
      </c>
    </row>
    <row r="711" spans="63:64">
      <c r="BK711" s="18" t="s">
        <v>3434</v>
      </c>
      <c r="BL711" s="18">
        <v>3</v>
      </c>
    </row>
    <row r="712" spans="63:64">
      <c r="BK712" s="18" t="s">
        <v>3506</v>
      </c>
      <c r="BL712" s="18">
        <v>3</v>
      </c>
    </row>
    <row r="713" spans="63:64">
      <c r="BK713" s="18" t="s">
        <v>3543</v>
      </c>
      <c r="BL713" s="18">
        <v>3</v>
      </c>
    </row>
    <row r="714" spans="63:64">
      <c r="BK714" s="18" t="s">
        <v>3219</v>
      </c>
      <c r="BL714" s="18">
        <v>3</v>
      </c>
    </row>
    <row r="715" spans="63:64">
      <c r="BK715" s="18" t="s">
        <v>3579</v>
      </c>
      <c r="BL715" s="18">
        <v>3</v>
      </c>
    </row>
    <row r="716" spans="63:64">
      <c r="BK716" s="18" t="s">
        <v>3363</v>
      </c>
      <c r="BL716" s="18">
        <v>3</v>
      </c>
    </row>
    <row r="717" spans="63:64">
      <c r="BK717" s="18" t="s">
        <v>3615</v>
      </c>
      <c r="BL717" s="18">
        <v>3</v>
      </c>
    </row>
    <row r="718" spans="63:64">
      <c r="BK718" s="18" t="s">
        <v>3291</v>
      </c>
      <c r="BL718" s="18">
        <v>3</v>
      </c>
    </row>
    <row r="719" spans="63:64">
      <c r="BK719" s="18" t="s">
        <v>3399</v>
      </c>
      <c r="BL719" s="18">
        <v>3</v>
      </c>
    </row>
    <row r="720" spans="63:64">
      <c r="BK720" s="18" t="s">
        <v>3255</v>
      </c>
      <c r="BL720" s="18">
        <v>3</v>
      </c>
    </row>
    <row r="721" spans="63:64">
      <c r="BK721" s="18" t="s">
        <v>3327</v>
      </c>
      <c r="BL721" s="18">
        <v>3</v>
      </c>
    </row>
    <row r="722" spans="63:64">
      <c r="BK722" s="18" t="s">
        <v>3471</v>
      </c>
      <c r="BL722" s="18">
        <v>3</v>
      </c>
    </row>
    <row r="723" spans="63:64">
      <c r="BK723" s="18" t="s">
        <v>3651</v>
      </c>
      <c r="BL723" s="18">
        <v>3</v>
      </c>
    </row>
    <row r="724" spans="63:64">
      <c r="BK724" s="18" t="s">
        <v>3435</v>
      </c>
      <c r="BL724" s="18">
        <v>3</v>
      </c>
    </row>
    <row r="725" spans="63:64">
      <c r="BK725" s="18" t="s">
        <v>3507</v>
      </c>
      <c r="BL725" s="18">
        <v>3</v>
      </c>
    </row>
    <row r="726" spans="63:64">
      <c r="BK726" s="18" t="s">
        <v>3551</v>
      </c>
      <c r="BL726" s="18">
        <v>3</v>
      </c>
    </row>
    <row r="727" spans="63:64">
      <c r="BK727" s="18" t="s">
        <v>3227</v>
      </c>
      <c r="BL727" s="18">
        <v>3</v>
      </c>
    </row>
    <row r="728" spans="63:64">
      <c r="BK728" s="18" t="s">
        <v>3587</v>
      </c>
      <c r="BL728" s="18">
        <v>3</v>
      </c>
    </row>
    <row r="729" spans="63:64">
      <c r="BK729" s="18" t="s">
        <v>3371</v>
      </c>
      <c r="BL729" s="18">
        <v>3</v>
      </c>
    </row>
    <row r="730" spans="63:64">
      <c r="BK730" s="18" t="s">
        <v>3623</v>
      </c>
      <c r="BL730" s="18">
        <v>3</v>
      </c>
    </row>
    <row r="731" spans="63:64">
      <c r="BK731" s="18" t="s">
        <v>3299</v>
      </c>
      <c r="BL731" s="18">
        <v>3</v>
      </c>
    </row>
    <row r="732" spans="63:64">
      <c r="BK732" s="18" t="s">
        <v>3407</v>
      </c>
      <c r="BL732" s="18">
        <v>3</v>
      </c>
    </row>
    <row r="733" spans="63:64">
      <c r="BK733" s="18" t="s">
        <v>3263</v>
      </c>
      <c r="BL733" s="18">
        <v>3</v>
      </c>
    </row>
    <row r="734" spans="63:64">
      <c r="BK734" s="18" t="s">
        <v>3335</v>
      </c>
      <c r="BL734" s="18">
        <v>3</v>
      </c>
    </row>
    <row r="735" spans="63:64">
      <c r="BK735" s="18" t="s">
        <v>3479</v>
      </c>
      <c r="BL735" s="18">
        <v>3</v>
      </c>
    </row>
    <row r="736" spans="63:64">
      <c r="BK736" s="18" t="s">
        <v>3659</v>
      </c>
      <c r="BL736" s="18">
        <v>3</v>
      </c>
    </row>
    <row r="737" spans="63:64">
      <c r="BK737" s="18" t="s">
        <v>3443</v>
      </c>
      <c r="BL737" s="18">
        <v>3</v>
      </c>
    </row>
    <row r="738" spans="63:64">
      <c r="BK738" s="18" t="s">
        <v>3515</v>
      </c>
      <c r="BL738" s="18">
        <v>3</v>
      </c>
    </row>
    <row r="739" spans="63:64">
      <c r="BK739" s="18" t="s">
        <v>3517</v>
      </c>
      <c r="BL739" s="18">
        <v>3</v>
      </c>
    </row>
    <row r="740" spans="63:64">
      <c r="BK740" s="18" t="s">
        <v>3193</v>
      </c>
      <c r="BL740" s="18">
        <v>3</v>
      </c>
    </row>
    <row r="741" spans="63:64">
      <c r="BK741" s="18" t="s">
        <v>3553</v>
      </c>
      <c r="BL741" s="18">
        <v>3</v>
      </c>
    </row>
    <row r="742" spans="63:64">
      <c r="BK742" s="18" t="s">
        <v>3337</v>
      </c>
      <c r="BL742" s="18">
        <v>3</v>
      </c>
    </row>
    <row r="743" spans="63:64">
      <c r="BK743" s="18" t="s">
        <v>3589</v>
      </c>
      <c r="BL743" s="18">
        <v>3</v>
      </c>
    </row>
    <row r="744" spans="63:64">
      <c r="BK744" s="18" t="s">
        <v>3265</v>
      </c>
      <c r="BL744" s="18">
        <v>3</v>
      </c>
    </row>
    <row r="745" spans="63:64">
      <c r="BK745" s="18" t="s">
        <v>3373</v>
      </c>
      <c r="BL745" s="18">
        <v>3</v>
      </c>
    </row>
    <row r="746" spans="63:64">
      <c r="BK746" s="18" t="s">
        <v>3229</v>
      </c>
      <c r="BL746" s="18">
        <v>3</v>
      </c>
    </row>
    <row r="747" spans="63:64">
      <c r="BK747" s="18" t="s">
        <v>3301</v>
      </c>
      <c r="BL747" s="18">
        <v>3</v>
      </c>
    </row>
    <row r="748" spans="63:64">
      <c r="BK748" s="18" t="s">
        <v>3445</v>
      </c>
      <c r="BL748" s="18">
        <v>3</v>
      </c>
    </row>
    <row r="749" spans="63:64">
      <c r="BK749" s="18" t="s">
        <v>3625</v>
      </c>
      <c r="BL749" s="18">
        <v>3</v>
      </c>
    </row>
    <row r="750" spans="63:64">
      <c r="BK750" s="18" t="s">
        <v>3409</v>
      </c>
      <c r="BL750" s="18">
        <v>3</v>
      </c>
    </row>
    <row r="751" spans="63:64">
      <c r="BK751" s="18" t="s">
        <v>3481</v>
      </c>
      <c r="BL751" s="18">
        <v>3</v>
      </c>
    </row>
    <row r="752" spans="63:64">
      <c r="BK752" s="18" t="s">
        <v>3544</v>
      </c>
      <c r="BL752" s="18">
        <v>3</v>
      </c>
    </row>
    <row r="753" spans="63:64">
      <c r="BK753" s="18" t="s">
        <v>3220</v>
      </c>
      <c r="BL753" s="18">
        <v>3</v>
      </c>
    </row>
    <row r="754" spans="63:64">
      <c r="BK754" s="18" t="s">
        <v>3580</v>
      </c>
      <c r="BL754" s="18">
        <v>3</v>
      </c>
    </row>
    <row r="755" spans="63:64">
      <c r="BK755" s="18" t="s">
        <v>3364</v>
      </c>
      <c r="BL755" s="18">
        <v>3</v>
      </c>
    </row>
    <row r="756" spans="63:64">
      <c r="BK756" s="18" t="s">
        <v>3616</v>
      </c>
      <c r="BL756" s="18">
        <v>3</v>
      </c>
    </row>
    <row r="757" spans="63:64">
      <c r="BK757" s="18" t="s">
        <v>3292</v>
      </c>
      <c r="BL757" s="18">
        <v>3</v>
      </c>
    </row>
    <row r="758" spans="63:64">
      <c r="BK758" s="18" t="s">
        <v>3400</v>
      </c>
      <c r="BL758" s="18">
        <v>3</v>
      </c>
    </row>
    <row r="759" spans="63:64">
      <c r="BK759" s="18" t="s">
        <v>3256</v>
      </c>
      <c r="BL759" s="18">
        <v>3</v>
      </c>
    </row>
    <row r="760" spans="63:64">
      <c r="BK760" s="18" t="s">
        <v>3328</v>
      </c>
      <c r="BL760" s="18">
        <v>3</v>
      </c>
    </row>
    <row r="761" spans="63:64">
      <c r="BK761" s="18" t="s">
        <v>3472</v>
      </c>
      <c r="BL761" s="18">
        <v>3</v>
      </c>
    </row>
    <row r="762" spans="63:64">
      <c r="BK762" s="18" t="s">
        <v>3652</v>
      </c>
      <c r="BL762" s="18">
        <v>3</v>
      </c>
    </row>
    <row r="763" spans="63:64">
      <c r="BK763" s="18" t="s">
        <v>3436</v>
      </c>
      <c r="BL763" s="18">
        <v>3</v>
      </c>
    </row>
    <row r="764" spans="63:64">
      <c r="BK764" s="18" t="s">
        <v>3508</v>
      </c>
      <c r="BL764" s="18">
        <v>3</v>
      </c>
    </row>
    <row r="765" spans="63:64">
      <c r="BK765" s="18" t="s">
        <v>3535</v>
      </c>
      <c r="BL765" s="18">
        <v>3</v>
      </c>
    </row>
    <row r="766" spans="63:64">
      <c r="BK766" s="18" t="s">
        <v>3211</v>
      </c>
      <c r="BL766" s="18">
        <v>3</v>
      </c>
    </row>
    <row r="767" spans="63:64">
      <c r="BK767" s="18" t="s">
        <v>3571</v>
      </c>
      <c r="BL767" s="18">
        <v>3</v>
      </c>
    </row>
    <row r="768" spans="63:64">
      <c r="BK768" s="18" t="s">
        <v>3355</v>
      </c>
      <c r="BL768" s="18">
        <v>3</v>
      </c>
    </row>
    <row r="769" spans="63:64">
      <c r="BK769" s="18" t="s">
        <v>3607</v>
      </c>
      <c r="BL769" s="18">
        <v>3</v>
      </c>
    </row>
    <row r="770" spans="63:64">
      <c r="BK770" s="18" t="s">
        <v>3283</v>
      </c>
      <c r="BL770" s="18">
        <v>3</v>
      </c>
    </row>
    <row r="771" spans="63:64">
      <c r="BK771" s="18" t="s">
        <v>3391</v>
      </c>
      <c r="BL771" s="18">
        <v>3</v>
      </c>
    </row>
    <row r="772" spans="63:64">
      <c r="BK772" s="18" t="s">
        <v>3247</v>
      </c>
      <c r="BL772" s="18">
        <v>3</v>
      </c>
    </row>
    <row r="773" spans="63:64">
      <c r="BK773" s="18" t="s">
        <v>3319</v>
      </c>
      <c r="BL773" s="18">
        <v>3</v>
      </c>
    </row>
    <row r="774" spans="63:64">
      <c r="BK774" s="18" t="s">
        <v>3463</v>
      </c>
      <c r="BL774" s="18">
        <v>3</v>
      </c>
    </row>
    <row r="775" spans="63:64">
      <c r="BK775" s="18" t="s">
        <v>3643</v>
      </c>
      <c r="BL775" s="18">
        <v>3</v>
      </c>
    </row>
    <row r="776" spans="63:64">
      <c r="BK776" s="18" t="s">
        <v>3427</v>
      </c>
      <c r="BL776" s="18">
        <v>3</v>
      </c>
    </row>
    <row r="777" spans="63:64">
      <c r="BK777" s="18" t="s">
        <v>3499</v>
      </c>
      <c r="BL777" s="18">
        <v>3</v>
      </c>
    </row>
    <row r="778" spans="63:64">
      <c r="BK778" s="18" t="s">
        <v>3546</v>
      </c>
      <c r="BL778" s="18">
        <v>3</v>
      </c>
    </row>
    <row r="779" spans="63:64">
      <c r="BK779" s="18" t="s">
        <v>3222</v>
      </c>
      <c r="BL779" s="18">
        <v>3</v>
      </c>
    </row>
    <row r="780" spans="63:64">
      <c r="BK780" s="18" t="s">
        <v>3582</v>
      </c>
      <c r="BL780" s="18">
        <v>3</v>
      </c>
    </row>
    <row r="781" spans="63:64">
      <c r="BK781" s="18" t="s">
        <v>3366</v>
      </c>
      <c r="BL781" s="18">
        <v>3</v>
      </c>
    </row>
    <row r="782" spans="63:64">
      <c r="BK782" s="18" t="s">
        <v>3618</v>
      </c>
      <c r="BL782" s="18">
        <v>3</v>
      </c>
    </row>
    <row r="783" spans="63:64">
      <c r="BK783" s="18" t="s">
        <v>3294</v>
      </c>
      <c r="BL783" s="18">
        <v>3</v>
      </c>
    </row>
    <row r="784" spans="63:64">
      <c r="BK784" s="18" t="s">
        <v>3402</v>
      </c>
      <c r="BL784" s="18">
        <v>3</v>
      </c>
    </row>
    <row r="785" spans="63:64">
      <c r="BK785" s="18" t="s">
        <v>3258</v>
      </c>
      <c r="BL785" s="18">
        <v>3</v>
      </c>
    </row>
    <row r="786" spans="63:64">
      <c r="BK786" s="18" t="s">
        <v>3330</v>
      </c>
      <c r="BL786" s="18">
        <v>3</v>
      </c>
    </row>
    <row r="787" spans="63:64">
      <c r="BK787" s="18" t="s">
        <v>3474</v>
      </c>
      <c r="BL787" s="18">
        <v>3</v>
      </c>
    </row>
    <row r="788" spans="63:64">
      <c r="BK788" s="18" t="s">
        <v>3654</v>
      </c>
      <c r="BL788" s="18">
        <v>3</v>
      </c>
    </row>
    <row r="789" spans="63:64">
      <c r="BK789" s="18" t="s">
        <v>3438</v>
      </c>
      <c r="BL789" s="18">
        <v>3</v>
      </c>
    </row>
    <row r="790" spans="63:64">
      <c r="BK790" s="18" t="s">
        <v>3510</v>
      </c>
      <c r="BL790" s="18">
        <v>3</v>
      </c>
    </row>
    <row r="791" spans="63:64">
      <c r="BK791" s="18" t="s">
        <v>3518</v>
      </c>
      <c r="BL791" s="18">
        <v>3</v>
      </c>
    </row>
    <row r="792" spans="63:64">
      <c r="BK792" s="18" t="s">
        <v>3194</v>
      </c>
      <c r="BL792" s="18">
        <v>3</v>
      </c>
    </row>
    <row r="793" spans="63:64">
      <c r="BK793" s="18" t="s">
        <v>3554</v>
      </c>
      <c r="BL793" s="18">
        <v>3</v>
      </c>
    </row>
    <row r="794" spans="63:64">
      <c r="BK794" s="18" t="s">
        <v>3338</v>
      </c>
      <c r="BL794" s="18">
        <v>3</v>
      </c>
    </row>
    <row r="795" spans="63:64">
      <c r="BK795" s="18" t="s">
        <v>3590</v>
      </c>
      <c r="BL795" s="18">
        <v>3</v>
      </c>
    </row>
    <row r="796" spans="63:64">
      <c r="BK796" s="18" t="s">
        <v>3266</v>
      </c>
      <c r="BL796" s="18">
        <v>3</v>
      </c>
    </row>
    <row r="797" spans="63:64">
      <c r="BK797" s="18" t="s">
        <v>3374</v>
      </c>
      <c r="BL797" s="18">
        <v>3</v>
      </c>
    </row>
    <row r="798" spans="63:64">
      <c r="BK798" s="18" t="s">
        <v>3230</v>
      </c>
      <c r="BL798" s="18">
        <v>3</v>
      </c>
    </row>
    <row r="799" spans="63:64">
      <c r="BK799" s="18" t="s">
        <v>3302</v>
      </c>
      <c r="BL799" s="18">
        <v>3</v>
      </c>
    </row>
    <row r="800" spans="63:64">
      <c r="BK800" s="18" t="s">
        <v>3446</v>
      </c>
      <c r="BL800" s="18">
        <v>3</v>
      </c>
    </row>
    <row r="801" spans="63:64">
      <c r="BK801" s="18" t="s">
        <v>3626</v>
      </c>
      <c r="BL801" s="18">
        <v>3</v>
      </c>
    </row>
    <row r="802" spans="63:64">
      <c r="BK802" s="18" t="s">
        <v>3410</v>
      </c>
      <c r="BL802" s="18">
        <v>3</v>
      </c>
    </row>
    <row r="803" spans="63:64">
      <c r="BK803" s="18" t="s">
        <v>3482</v>
      </c>
      <c r="BL803" s="18">
        <v>3</v>
      </c>
    </row>
    <row r="804" spans="63:64">
      <c r="BK804" s="18" t="s">
        <v>3519</v>
      </c>
      <c r="BL804" s="18">
        <v>3</v>
      </c>
    </row>
    <row r="805" spans="63:64">
      <c r="BK805" s="18" t="s">
        <v>3195</v>
      </c>
      <c r="BL805" s="18">
        <v>3</v>
      </c>
    </row>
    <row r="806" spans="63:64">
      <c r="BK806" s="18" t="s">
        <v>3555</v>
      </c>
      <c r="BL806" s="18">
        <v>3</v>
      </c>
    </row>
    <row r="807" spans="63:64">
      <c r="BK807" s="18" t="s">
        <v>3339</v>
      </c>
      <c r="BL807" s="18">
        <v>3</v>
      </c>
    </row>
    <row r="808" spans="63:64">
      <c r="BK808" s="18" t="s">
        <v>3591</v>
      </c>
      <c r="BL808" s="18">
        <v>3</v>
      </c>
    </row>
    <row r="809" spans="63:64">
      <c r="BK809" s="18" t="s">
        <v>3267</v>
      </c>
      <c r="BL809" s="18">
        <v>3</v>
      </c>
    </row>
    <row r="810" spans="63:64">
      <c r="BK810" s="18" t="s">
        <v>3375</v>
      </c>
      <c r="BL810" s="18">
        <v>3</v>
      </c>
    </row>
    <row r="811" spans="63:64">
      <c r="BK811" s="18" t="s">
        <v>3231</v>
      </c>
      <c r="BL811" s="18">
        <v>3</v>
      </c>
    </row>
    <row r="812" spans="63:64">
      <c r="BK812" s="18" t="s">
        <v>3303</v>
      </c>
      <c r="BL812" s="18">
        <v>3</v>
      </c>
    </row>
    <row r="813" spans="63:64">
      <c r="BK813" s="18" t="s">
        <v>3447</v>
      </c>
      <c r="BL813" s="18">
        <v>3</v>
      </c>
    </row>
    <row r="814" spans="63:64">
      <c r="BK814" s="18" t="s">
        <v>3627</v>
      </c>
      <c r="BL814" s="18">
        <v>3</v>
      </c>
    </row>
    <row r="815" spans="63:64">
      <c r="BK815" s="18" t="s">
        <v>3411</v>
      </c>
      <c r="BL815" s="18">
        <v>3</v>
      </c>
    </row>
    <row r="816" spans="63:64">
      <c r="BK816" s="18" t="s">
        <v>3483</v>
      </c>
      <c r="BL816" s="18">
        <v>3</v>
      </c>
    </row>
    <row r="817" spans="63:64">
      <c r="BK817" s="18" t="s">
        <v>3547</v>
      </c>
      <c r="BL817" s="18">
        <v>3</v>
      </c>
    </row>
    <row r="818" spans="63:64">
      <c r="BK818" s="18" t="s">
        <v>3223</v>
      </c>
      <c r="BL818" s="18">
        <v>3</v>
      </c>
    </row>
    <row r="819" spans="63:64">
      <c r="BK819" s="18" t="s">
        <v>3583</v>
      </c>
      <c r="BL819" s="18">
        <v>3</v>
      </c>
    </row>
    <row r="820" spans="63:64">
      <c r="BK820" s="18" t="s">
        <v>3367</v>
      </c>
      <c r="BL820" s="18">
        <v>3</v>
      </c>
    </row>
    <row r="821" spans="63:64">
      <c r="BK821" s="18" t="s">
        <v>3619</v>
      </c>
      <c r="BL821" s="18">
        <v>3</v>
      </c>
    </row>
    <row r="822" spans="63:64">
      <c r="BK822" s="18" t="s">
        <v>3295</v>
      </c>
      <c r="BL822" s="18">
        <v>3</v>
      </c>
    </row>
    <row r="823" spans="63:64">
      <c r="BK823" s="18" t="s">
        <v>3403</v>
      </c>
      <c r="BL823" s="18">
        <v>3</v>
      </c>
    </row>
    <row r="824" spans="63:64">
      <c r="BK824" s="18" t="s">
        <v>3259</v>
      </c>
      <c r="BL824" s="18">
        <v>3</v>
      </c>
    </row>
    <row r="825" spans="63:64">
      <c r="BK825" s="18" t="s">
        <v>3331</v>
      </c>
      <c r="BL825" s="18">
        <v>3</v>
      </c>
    </row>
    <row r="826" spans="63:64">
      <c r="BK826" s="18" t="s">
        <v>3475</v>
      </c>
      <c r="BL826" s="18">
        <v>3</v>
      </c>
    </row>
    <row r="827" spans="63:64">
      <c r="BK827" s="18" t="s">
        <v>3655</v>
      </c>
      <c r="BL827" s="18">
        <v>3</v>
      </c>
    </row>
    <row r="828" spans="63:64">
      <c r="BK828" s="18" t="s">
        <v>3439</v>
      </c>
      <c r="BL828" s="18">
        <v>3</v>
      </c>
    </row>
    <row r="829" spans="63:64">
      <c r="BK829" s="18" t="s">
        <v>3511</v>
      </c>
      <c r="BL829" s="18">
        <v>3</v>
      </c>
    </row>
    <row r="830" spans="63:64">
      <c r="BK830" s="18" t="s">
        <v>3527</v>
      </c>
      <c r="BL830" s="18">
        <v>3</v>
      </c>
    </row>
    <row r="831" spans="63:64">
      <c r="BK831" s="18" t="s">
        <v>3203</v>
      </c>
      <c r="BL831" s="18">
        <v>3</v>
      </c>
    </row>
    <row r="832" spans="63:64">
      <c r="BK832" s="18" t="s">
        <v>3563</v>
      </c>
      <c r="BL832" s="18">
        <v>3</v>
      </c>
    </row>
    <row r="833" spans="63:64">
      <c r="BK833" s="18" t="s">
        <v>3347</v>
      </c>
      <c r="BL833" s="18">
        <v>3</v>
      </c>
    </row>
    <row r="834" spans="63:64">
      <c r="BK834" s="18" t="s">
        <v>3599</v>
      </c>
      <c r="BL834" s="18">
        <v>3</v>
      </c>
    </row>
    <row r="835" spans="63:64">
      <c r="BK835" s="18" t="s">
        <v>3275</v>
      </c>
      <c r="BL835" s="18">
        <v>3</v>
      </c>
    </row>
    <row r="836" spans="63:64">
      <c r="BK836" s="18" t="s">
        <v>3383</v>
      </c>
      <c r="BL836" s="18">
        <v>3</v>
      </c>
    </row>
    <row r="837" spans="63:64">
      <c r="BK837" s="18" t="s">
        <v>3239</v>
      </c>
      <c r="BL837" s="18">
        <v>3</v>
      </c>
    </row>
    <row r="838" spans="63:64">
      <c r="BK838" s="18" t="s">
        <v>3311</v>
      </c>
      <c r="BL838" s="18">
        <v>3</v>
      </c>
    </row>
    <row r="839" spans="63:64">
      <c r="BK839" s="18" t="s">
        <v>3455</v>
      </c>
      <c r="BL839" s="18">
        <v>3</v>
      </c>
    </row>
    <row r="840" spans="63:64">
      <c r="BK840" s="18" t="s">
        <v>3635</v>
      </c>
      <c r="BL840" s="18">
        <v>3</v>
      </c>
    </row>
    <row r="841" spans="63:64">
      <c r="BK841" s="18" t="s">
        <v>3419</v>
      </c>
      <c r="BL841" s="18">
        <v>3</v>
      </c>
    </row>
    <row r="842" spans="63:64">
      <c r="BK842" s="18" t="s">
        <v>3491</v>
      </c>
      <c r="BL842" s="18">
        <v>3</v>
      </c>
    </row>
    <row r="843" spans="63:64">
      <c r="BK843" s="18" t="s">
        <v>3529</v>
      </c>
      <c r="BL843" s="18">
        <v>3</v>
      </c>
    </row>
    <row r="844" spans="63:64">
      <c r="BK844" s="18" t="s">
        <v>3205</v>
      </c>
      <c r="BL844" s="18">
        <v>3</v>
      </c>
    </row>
    <row r="845" spans="63:64">
      <c r="BK845" s="18" t="s">
        <v>3565</v>
      </c>
      <c r="BL845" s="18">
        <v>3</v>
      </c>
    </row>
    <row r="846" spans="63:64">
      <c r="BK846" s="18" t="s">
        <v>3349</v>
      </c>
      <c r="BL846" s="18">
        <v>3</v>
      </c>
    </row>
    <row r="847" spans="63:64">
      <c r="BK847" s="18" t="s">
        <v>3601</v>
      </c>
      <c r="BL847" s="18">
        <v>3</v>
      </c>
    </row>
    <row r="848" spans="63:64">
      <c r="BK848" s="18" t="s">
        <v>3277</v>
      </c>
      <c r="BL848" s="18">
        <v>3</v>
      </c>
    </row>
    <row r="849" spans="63:64">
      <c r="BK849" s="18" t="s">
        <v>3385</v>
      </c>
      <c r="BL849" s="18">
        <v>3</v>
      </c>
    </row>
    <row r="850" spans="63:64">
      <c r="BK850" s="18" t="s">
        <v>3241</v>
      </c>
      <c r="BL850" s="18">
        <v>3</v>
      </c>
    </row>
    <row r="851" spans="63:64">
      <c r="BK851" s="18" t="s">
        <v>3313</v>
      </c>
      <c r="BL851" s="18">
        <v>3</v>
      </c>
    </row>
    <row r="852" spans="63:64">
      <c r="BK852" s="18" t="s">
        <v>3457</v>
      </c>
      <c r="BL852" s="18">
        <v>3</v>
      </c>
    </row>
    <row r="853" spans="63:64">
      <c r="BK853" s="18" t="s">
        <v>3637</v>
      </c>
      <c r="BL853" s="18">
        <v>3</v>
      </c>
    </row>
    <row r="854" spans="63:64">
      <c r="BK854" s="18" t="s">
        <v>3421</v>
      </c>
      <c r="BL854" s="18">
        <v>3</v>
      </c>
    </row>
    <row r="855" spans="63:64">
      <c r="BK855" s="18" t="s">
        <v>3493</v>
      </c>
      <c r="BL855" s="18">
        <v>3</v>
      </c>
    </row>
    <row r="856" spans="63:64">
      <c r="BK856" s="18" t="s">
        <v>3530</v>
      </c>
      <c r="BL856" s="18">
        <v>3</v>
      </c>
    </row>
    <row r="857" spans="63:64">
      <c r="BK857" s="18" t="s">
        <v>3206</v>
      </c>
      <c r="BL857" s="18">
        <v>3</v>
      </c>
    </row>
    <row r="858" spans="63:64">
      <c r="BK858" s="18" t="s">
        <v>3566</v>
      </c>
      <c r="BL858" s="18">
        <v>3</v>
      </c>
    </row>
    <row r="859" spans="63:64">
      <c r="BK859" s="18" t="s">
        <v>3350</v>
      </c>
      <c r="BL859" s="18">
        <v>3</v>
      </c>
    </row>
    <row r="860" spans="63:64">
      <c r="BK860" s="18" t="s">
        <v>3602</v>
      </c>
      <c r="BL860" s="18">
        <v>3</v>
      </c>
    </row>
    <row r="861" spans="63:64">
      <c r="BK861" s="18" t="s">
        <v>3278</v>
      </c>
      <c r="BL861" s="18">
        <v>3</v>
      </c>
    </row>
    <row r="862" spans="63:64">
      <c r="BK862" s="18" t="s">
        <v>3386</v>
      </c>
      <c r="BL862" s="18">
        <v>3</v>
      </c>
    </row>
    <row r="863" spans="63:64">
      <c r="BK863" s="18" t="s">
        <v>3242</v>
      </c>
      <c r="BL863" s="18">
        <v>3</v>
      </c>
    </row>
    <row r="864" spans="63:64">
      <c r="BK864" s="18" t="s">
        <v>3314</v>
      </c>
      <c r="BL864" s="18">
        <v>3</v>
      </c>
    </row>
    <row r="865" spans="63:64">
      <c r="BK865" s="18" t="s">
        <v>3458</v>
      </c>
      <c r="BL865" s="18">
        <v>3</v>
      </c>
    </row>
    <row r="866" spans="63:64">
      <c r="BK866" s="18" t="s">
        <v>3638</v>
      </c>
      <c r="BL866" s="18">
        <v>3</v>
      </c>
    </row>
    <row r="867" spans="63:64">
      <c r="BK867" s="18" t="s">
        <v>3422</v>
      </c>
      <c r="BL867" s="18">
        <v>3</v>
      </c>
    </row>
    <row r="868" spans="63:64">
      <c r="BK868" s="18" t="s">
        <v>3494</v>
      </c>
      <c r="BL868" s="18">
        <v>3</v>
      </c>
    </row>
    <row r="869" spans="63:64">
      <c r="BK869" s="18" t="s">
        <v>3536</v>
      </c>
      <c r="BL869" s="18">
        <v>3</v>
      </c>
    </row>
    <row r="870" spans="63:64">
      <c r="BK870" s="18" t="s">
        <v>3212</v>
      </c>
      <c r="BL870" s="18">
        <v>3</v>
      </c>
    </row>
    <row r="871" spans="63:64">
      <c r="BK871" s="18" t="s">
        <v>3572</v>
      </c>
      <c r="BL871" s="18">
        <v>3</v>
      </c>
    </row>
    <row r="872" spans="63:64">
      <c r="BK872" s="18" t="s">
        <v>3356</v>
      </c>
      <c r="BL872" s="18">
        <v>3</v>
      </c>
    </row>
    <row r="873" spans="63:64">
      <c r="BK873" s="18" t="s">
        <v>3608</v>
      </c>
      <c r="BL873" s="18">
        <v>3</v>
      </c>
    </row>
    <row r="874" spans="63:64">
      <c r="BK874" s="18" t="s">
        <v>3284</v>
      </c>
      <c r="BL874" s="18">
        <v>3</v>
      </c>
    </row>
    <row r="875" spans="63:64">
      <c r="BK875" s="18" t="s">
        <v>3392</v>
      </c>
      <c r="BL875" s="18">
        <v>3</v>
      </c>
    </row>
    <row r="876" spans="63:64">
      <c r="BK876" s="18" t="s">
        <v>3248</v>
      </c>
      <c r="BL876" s="18">
        <v>3</v>
      </c>
    </row>
    <row r="877" spans="63:64">
      <c r="BK877" s="18" t="s">
        <v>3320</v>
      </c>
      <c r="BL877" s="18">
        <v>3</v>
      </c>
    </row>
    <row r="878" spans="63:64">
      <c r="BK878" s="18" t="s">
        <v>3464</v>
      </c>
      <c r="BL878" s="18">
        <v>3</v>
      </c>
    </row>
    <row r="879" spans="63:64">
      <c r="BK879" s="18" t="s">
        <v>3644</v>
      </c>
      <c r="BL879" s="18">
        <v>3</v>
      </c>
    </row>
    <row r="880" spans="63:64">
      <c r="BK880" s="18" t="s">
        <v>3428</v>
      </c>
      <c r="BL880" s="18">
        <v>3</v>
      </c>
    </row>
    <row r="881" spans="63:64">
      <c r="BK881" s="18" t="s">
        <v>3500</v>
      </c>
      <c r="BL881" s="18">
        <v>3</v>
      </c>
    </row>
    <row r="882" spans="63:64">
      <c r="BK882" s="18" t="s">
        <v>3523</v>
      </c>
      <c r="BL882" s="18">
        <v>3</v>
      </c>
    </row>
    <row r="883" spans="63:64">
      <c r="BK883" s="18" t="s">
        <v>3199</v>
      </c>
      <c r="BL883" s="18">
        <v>3</v>
      </c>
    </row>
    <row r="884" spans="63:64">
      <c r="BK884" s="18" t="s">
        <v>3559</v>
      </c>
      <c r="BL884" s="18">
        <v>3</v>
      </c>
    </row>
    <row r="885" spans="63:64">
      <c r="BK885" s="18" t="s">
        <v>3343</v>
      </c>
      <c r="BL885" s="18">
        <v>3</v>
      </c>
    </row>
    <row r="886" spans="63:64">
      <c r="BK886" s="18" t="s">
        <v>3595</v>
      </c>
      <c r="BL886" s="18">
        <v>3</v>
      </c>
    </row>
    <row r="887" spans="63:64">
      <c r="BK887" s="18" t="s">
        <v>3271</v>
      </c>
      <c r="BL887" s="18">
        <v>3</v>
      </c>
    </row>
    <row r="888" spans="63:64">
      <c r="BK888" s="18" t="s">
        <v>3379</v>
      </c>
      <c r="BL888" s="18">
        <v>3</v>
      </c>
    </row>
    <row r="889" spans="63:64">
      <c r="BK889" s="18" t="s">
        <v>3235</v>
      </c>
      <c r="BL889" s="18">
        <v>3</v>
      </c>
    </row>
    <row r="890" spans="63:64">
      <c r="BK890" s="18" t="s">
        <v>3307</v>
      </c>
      <c r="BL890" s="18">
        <v>3</v>
      </c>
    </row>
    <row r="891" spans="63:64">
      <c r="BK891" s="18" t="s">
        <v>3451</v>
      </c>
      <c r="BL891" s="18">
        <v>3</v>
      </c>
    </row>
    <row r="892" spans="63:64">
      <c r="BK892" s="18" t="s">
        <v>3631</v>
      </c>
      <c r="BL892" s="18">
        <v>3</v>
      </c>
    </row>
    <row r="893" spans="63:64">
      <c r="BK893" s="18" t="s">
        <v>3415</v>
      </c>
      <c r="BL893" s="18">
        <v>3</v>
      </c>
    </row>
    <row r="894" spans="63:64">
      <c r="BK894" s="18" t="s">
        <v>3487</v>
      </c>
      <c r="BL894" s="18">
        <v>3</v>
      </c>
    </row>
    <row r="895" spans="63:64">
      <c r="BK895" s="18" t="s">
        <v>3545</v>
      </c>
      <c r="BL895" s="18">
        <v>3</v>
      </c>
    </row>
    <row r="896" spans="63:64">
      <c r="BK896" s="18" t="s">
        <v>3221</v>
      </c>
      <c r="BL896" s="18">
        <v>3</v>
      </c>
    </row>
    <row r="897" spans="63:64">
      <c r="BK897" s="18" t="s">
        <v>3581</v>
      </c>
      <c r="BL897" s="18">
        <v>3</v>
      </c>
    </row>
    <row r="898" spans="63:64">
      <c r="BK898" s="18" t="s">
        <v>3365</v>
      </c>
      <c r="BL898" s="18">
        <v>3</v>
      </c>
    </row>
    <row r="899" spans="63:64">
      <c r="BK899" s="18" t="s">
        <v>3617</v>
      </c>
      <c r="BL899" s="18">
        <v>3</v>
      </c>
    </row>
    <row r="900" spans="63:64">
      <c r="BK900" s="18" t="s">
        <v>3293</v>
      </c>
      <c r="BL900" s="18">
        <v>3</v>
      </c>
    </row>
    <row r="901" spans="63:64">
      <c r="BK901" s="18" t="s">
        <v>3401</v>
      </c>
      <c r="BL901" s="18">
        <v>3</v>
      </c>
    </row>
    <row r="902" spans="63:64">
      <c r="BK902" s="18" t="s">
        <v>3257</v>
      </c>
      <c r="BL902" s="18">
        <v>3</v>
      </c>
    </row>
    <row r="903" spans="63:64">
      <c r="BK903" s="18" t="s">
        <v>3329</v>
      </c>
      <c r="BL903" s="18">
        <v>3</v>
      </c>
    </row>
    <row r="904" spans="63:64">
      <c r="BK904" s="18" t="s">
        <v>3473</v>
      </c>
      <c r="BL904" s="18">
        <v>3</v>
      </c>
    </row>
    <row r="905" spans="63:64">
      <c r="BK905" s="18" t="s">
        <v>3653</v>
      </c>
      <c r="BL905" s="18">
        <v>3</v>
      </c>
    </row>
    <row r="906" spans="63:64">
      <c r="BK906" s="18" t="s">
        <v>3437</v>
      </c>
      <c r="BL906" s="18">
        <v>3</v>
      </c>
    </row>
    <row r="907" spans="63:64">
      <c r="BK907" s="18" t="s">
        <v>3509</v>
      </c>
      <c r="BL907" s="18">
        <v>3</v>
      </c>
    </row>
    <row r="908" spans="63:64">
      <c r="BK908" s="18" t="s">
        <v>3520</v>
      </c>
      <c r="BL908" s="18">
        <v>3</v>
      </c>
    </row>
    <row r="909" spans="63:64">
      <c r="BK909" s="18" t="s">
        <v>3196</v>
      </c>
      <c r="BL909" s="18">
        <v>3</v>
      </c>
    </row>
    <row r="910" spans="63:64">
      <c r="BK910" s="18" t="s">
        <v>3556</v>
      </c>
      <c r="BL910" s="18">
        <v>3</v>
      </c>
    </row>
    <row r="911" spans="63:64">
      <c r="BK911" s="18" t="s">
        <v>3340</v>
      </c>
      <c r="BL911" s="18">
        <v>3</v>
      </c>
    </row>
    <row r="912" spans="63:64">
      <c r="BK912" s="18" t="s">
        <v>3592</v>
      </c>
      <c r="BL912" s="18">
        <v>3</v>
      </c>
    </row>
    <row r="913" spans="63:64">
      <c r="BK913" s="18" t="s">
        <v>3268</v>
      </c>
      <c r="BL913" s="18">
        <v>3</v>
      </c>
    </row>
    <row r="914" spans="63:64">
      <c r="BK914" s="18" t="s">
        <v>3376</v>
      </c>
      <c r="BL914" s="18">
        <v>3</v>
      </c>
    </row>
    <row r="915" spans="63:64">
      <c r="BK915" s="18" t="s">
        <v>3232</v>
      </c>
      <c r="BL915" s="18">
        <v>3</v>
      </c>
    </row>
    <row r="916" spans="63:64">
      <c r="BK916" s="18" t="s">
        <v>3304</v>
      </c>
      <c r="BL916" s="18">
        <v>3</v>
      </c>
    </row>
    <row r="917" spans="63:64">
      <c r="BK917" s="18" t="s">
        <v>3448</v>
      </c>
      <c r="BL917" s="18">
        <v>3</v>
      </c>
    </row>
    <row r="918" spans="63:64">
      <c r="BK918" s="18" t="s">
        <v>3628</v>
      </c>
      <c r="BL918" s="18">
        <v>3</v>
      </c>
    </row>
    <row r="919" spans="63:64">
      <c r="BK919" s="18" t="s">
        <v>3412</v>
      </c>
      <c r="BL919" s="18">
        <v>3</v>
      </c>
    </row>
    <row r="920" spans="63:64">
      <c r="BK920" s="18" t="s">
        <v>3484</v>
      </c>
      <c r="BL920" s="18">
        <v>3</v>
      </c>
    </row>
    <row r="921" spans="63:64">
      <c r="BK921" s="18" t="s">
        <v>3533</v>
      </c>
      <c r="BL921" s="18">
        <v>3</v>
      </c>
    </row>
    <row r="922" spans="63:64">
      <c r="BK922" s="18" t="s">
        <v>3209</v>
      </c>
      <c r="BL922" s="18">
        <v>3</v>
      </c>
    </row>
    <row r="923" spans="63:64">
      <c r="BK923" s="18" t="s">
        <v>3569</v>
      </c>
      <c r="BL923" s="18">
        <v>3</v>
      </c>
    </row>
    <row r="924" spans="63:64">
      <c r="BK924" s="18" t="s">
        <v>3353</v>
      </c>
      <c r="BL924" s="18">
        <v>3</v>
      </c>
    </row>
    <row r="925" spans="63:64">
      <c r="BK925" s="18" t="s">
        <v>3605</v>
      </c>
      <c r="BL925" s="18">
        <v>3</v>
      </c>
    </row>
    <row r="926" spans="63:64">
      <c r="BK926" s="18" t="s">
        <v>3281</v>
      </c>
      <c r="BL926" s="18">
        <v>3</v>
      </c>
    </row>
    <row r="927" spans="63:64">
      <c r="BK927" s="18" t="s">
        <v>3389</v>
      </c>
      <c r="BL927" s="18">
        <v>3</v>
      </c>
    </row>
    <row r="928" spans="63:64">
      <c r="BK928" s="18" t="s">
        <v>3245</v>
      </c>
      <c r="BL928" s="18">
        <v>3</v>
      </c>
    </row>
    <row r="929" spans="63:64">
      <c r="BK929" s="18" t="s">
        <v>3317</v>
      </c>
      <c r="BL929" s="18">
        <v>3</v>
      </c>
    </row>
    <row r="930" spans="63:64">
      <c r="BK930" s="18" t="s">
        <v>3461</v>
      </c>
      <c r="BL930" s="18">
        <v>3</v>
      </c>
    </row>
    <row r="931" spans="63:64">
      <c r="BK931" s="18" t="s">
        <v>3641</v>
      </c>
      <c r="BL931" s="18">
        <v>3</v>
      </c>
    </row>
    <row r="932" spans="63:64">
      <c r="BK932" s="18" t="s">
        <v>3425</v>
      </c>
      <c r="BL932" s="18">
        <v>3</v>
      </c>
    </row>
    <row r="933" spans="63:64">
      <c r="BK933" s="18" t="s">
        <v>3497</v>
      </c>
      <c r="BL933" s="18">
        <v>3</v>
      </c>
    </row>
    <row r="934" spans="63:64">
      <c r="BK934" s="18" t="s">
        <v>3548</v>
      </c>
      <c r="BL934" s="18">
        <v>3</v>
      </c>
    </row>
    <row r="935" spans="63:64">
      <c r="BK935" s="18" t="s">
        <v>3224</v>
      </c>
      <c r="BL935" s="18">
        <v>3</v>
      </c>
    </row>
    <row r="936" spans="63:64">
      <c r="BK936" s="18" t="s">
        <v>3584</v>
      </c>
      <c r="BL936" s="18">
        <v>3</v>
      </c>
    </row>
    <row r="937" spans="63:64">
      <c r="BK937" s="18" t="s">
        <v>3368</v>
      </c>
      <c r="BL937" s="18">
        <v>3</v>
      </c>
    </row>
    <row r="938" spans="63:64">
      <c r="BK938" s="18" t="s">
        <v>3620</v>
      </c>
      <c r="BL938" s="18">
        <v>3</v>
      </c>
    </row>
    <row r="939" spans="63:64">
      <c r="BK939" s="18" t="s">
        <v>3296</v>
      </c>
      <c r="BL939" s="18">
        <v>3</v>
      </c>
    </row>
    <row r="940" spans="63:64">
      <c r="BK940" s="18" t="s">
        <v>3404</v>
      </c>
      <c r="BL940" s="18">
        <v>3</v>
      </c>
    </row>
    <row r="941" spans="63:64">
      <c r="BK941" s="18" t="s">
        <v>3260</v>
      </c>
      <c r="BL941" s="18">
        <v>3</v>
      </c>
    </row>
    <row r="942" spans="63:64">
      <c r="BK942" s="18" t="s">
        <v>3332</v>
      </c>
      <c r="BL942" s="18">
        <v>3</v>
      </c>
    </row>
    <row r="943" spans="63:64">
      <c r="BK943" s="18" t="s">
        <v>3476</v>
      </c>
      <c r="BL943" s="18">
        <v>3</v>
      </c>
    </row>
    <row r="944" spans="63:64">
      <c r="BK944" s="18" t="s">
        <v>3656</v>
      </c>
      <c r="BL944" s="18">
        <v>3</v>
      </c>
    </row>
    <row r="945" spans="63:64">
      <c r="BK945" s="18" t="s">
        <v>3440</v>
      </c>
      <c r="BL945" s="18">
        <v>3</v>
      </c>
    </row>
    <row r="946" spans="63:64">
      <c r="BK946" s="18" t="s">
        <v>3512</v>
      </c>
      <c r="BL946" s="18">
        <v>3</v>
      </c>
    </row>
    <row r="947" spans="63:64">
      <c r="BK947" s="18" t="s">
        <v>3177</v>
      </c>
      <c r="BL947" s="18">
        <v>11</v>
      </c>
    </row>
    <row r="948" spans="63:64">
      <c r="BK948" s="18" t="s">
        <v>3183</v>
      </c>
      <c r="BL948" s="18">
        <v>11</v>
      </c>
    </row>
    <row r="949" spans="63:64">
      <c r="BK949" s="18" t="s">
        <v>3181</v>
      </c>
      <c r="BL949" s="18">
        <v>11</v>
      </c>
    </row>
    <row r="950" spans="63:64">
      <c r="BK950" s="18" t="s">
        <v>3179</v>
      </c>
      <c r="BL950" s="18">
        <v>11</v>
      </c>
    </row>
    <row r="951" spans="63:64">
      <c r="BK951" s="18" t="s">
        <v>3182</v>
      </c>
      <c r="BL951" s="18">
        <v>11</v>
      </c>
    </row>
    <row r="952" spans="63:64">
      <c r="BK952" s="18" t="s">
        <v>3178</v>
      </c>
      <c r="BL952" s="18">
        <v>11</v>
      </c>
    </row>
    <row r="953" spans="63:64">
      <c r="BK953" s="18" t="s">
        <v>3180</v>
      </c>
      <c r="BL953" s="18">
        <v>11</v>
      </c>
    </row>
    <row r="954" spans="63:64">
      <c r="BK954" s="18" t="s">
        <v>3917</v>
      </c>
      <c r="BL954" s="18">
        <v>10</v>
      </c>
    </row>
    <row r="955" spans="63:64">
      <c r="BK955" s="18" t="s">
        <v>3970</v>
      </c>
      <c r="BL955" s="18">
        <v>7</v>
      </c>
    </row>
    <row r="956" spans="63:64">
      <c r="BK956" s="18" t="s">
        <v>3975</v>
      </c>
      <c r="BL956" s="18">
        <v>7</v>
      </c>
    </row>
    <row r="957" spans="63:64">
      <c r="BK957" s="18" t="s">
        <v>3974</v>
      </c>
      <c r="BL957" s="18">
        <v>7</v>
      </c>
    </row>
    <row r="958" spans="63:64">
      <c r="BK958" s="18" t="s">
        <v>3955</v>
      </c>
      <c r="BL958" s="18">
        <v>7</v>
      </c>
    </row>
    <row r="959" spans="63:64">
      <c r="BK959" s="18" t="s">
        <v>3957</v>
      </c>
      <c r="BL959" s="18">
        <v>7</v>
      </c>
    </row>
    <row r="960" spans="63:64">
      <c r="BK960" s="18" t="s">
        <v>3958</v>
      </c>
      <c r="BL960" s="18">
        <v>7</v>
      </c>
    </row>
    <row r="961" spans="63:64">
      <c r="BK961" s="18" t="s">
        <v>3959</v>
      </c>
      <c r="BL961" s="18">
        <v>7</v>
      </c>
    </row>
    <row r="962" spans="63:64">
      <c r="BK962" s="18" t="s">
        <v>3963</v>
      </c>
      <c r="BL962" s="18">
        <v>7</v>
      </c>
    </row>
    <row r="963" spans="63:64">
      <c r="BK963" s="18" t="s">
        <v>3964</v>
      </c>
      <c r="BL963" s="18">
        <v>7</v>
      </c>
    </row>
    <row r="964" spans="63:64">
      <c r="BK964" s="18" t="s">
        <v>3965</v>
      </c>
      <c r="BL964" s="18">
        <v>7</v>
      </c>
    </row>
    <row r="965" spans="63:64">
      <c r="BK965" s="18" t="s">
        <v>3960</v>
      </c>
      <c r="BL965" s="18">
        <v>7</v>
      </c>
    </row>
    <row r="966" spans="63:64">
      <c r="BK966" s="18" t="s">
        <v>3952</v>
      </c>
      <c r="BL966" s="18">
        <v>7</v>
      </c>
    </row>
    <row r="967" spans="63:64">
      <c r="BK967" s="18" t="s">
        <v>3969</v>
      </c>
      <c r="BL967" s="18">
        <v>7</v>
      </c>
    </row>
    <row r="968" spans="63:64">
      <c r="BK968" s="18" t="s">
        <v>3968</v>
      </c>
      <c r="BL968" s="18">
        <v>7</v>
      </c>
    </row>
    <row r="969" spans="63:64">
      <c r="BK969" s="18" t="s">
        <v>3961</v>
      </c>
      <c r="BL969" s="18">
        <v>7</v>
      </c>
    </row>
    <row r="970" spans="63:64">
      <c r="BK970" s="18" t="s">
        <v>3966</v>
      </c>
      <c r="BL970" s="18">
        <v>7</v>
      </c>
    </row>
    <row r="971" spans="63:64">
      <c r="BK971" s="18" t="s">
        <v>3962</v>
      </c>
      <c r="BL971" s="18">
        <v>7</v>
      </c>
    </row>
    <row r="972" spans="63:64">
      <c r="BK972" s="18" t="s">
        <v>3971</v>
      </c>
      <c r="BL972" s="18">
        <v>7</v>
      </c>
    </row>
    <row r="973" spans="63:64">
      <c r="BK973" s="18" t="s">
        <v>3954</v>
      </c>
      <c r="BL973" s="18">
        <v>7</v>
      </c>
    </row>
    <row r="974" spans="63:64">
      <c r="BK974" s="18" t="s">
        <v>3956</v>
      </c>
      <c r="BL974" s="18">
        <v>7</v>
      </c>
    </row>
    <row r="975" spans="63:64">
      <c r="BK975" s="18" t="s">
        <v>3972</v>
      </c>
      <c r="BL975" s="18">
        <v>7</v>
      </c>
    </row>
    <row r="976" spans="63:64">
      <c r="BK976" s="18" t="s">
        <v>3973</v>
      </c>
      <c r="BL976" s="18">
        <v>7</v>
      </c>
    </row>
    <row r="977" spans="63:64">
      <c r="BK977" s="18" t="s">
        <v>3953</v>
      </c>
      <c r="BL977" s="18">
        <v>7</v>
      </c>
    </row>
    <row r="978" spans="63:64">
      <c r="BK978" s="18" t="s">
        <v>3976</v>
      </c>
      <c r="BL978" s="18">
        <v>7</v>
      </c>
    </row>
    <row r="979" spans="63:64">
      <c r="BK979" s="18" t="s">
        <v>3951</v>
      </c>
      <c r="BL979" s="18">
        <v>7</v>
      </c>
    </row>
    <row r="980" spans="63:64">
      <c r="BK980" s="18" t="s">
        <v>3967</v>
      </c>
      <c r="BL980" s="18">
        <v>7</v>
      </c>
    </row>
    <row r="981" spans="63:64">
      <c r="BK981" s="18" t="s">
        <v>3996</v>
      </c>
      <c r="BL981" s="18">
        <v>7</v>
      </c>
    </row>
    <row r="982" spans="63:64">
      <c r="BK982" s="18" t="s">
        <v>4001</v>
      </c>
      <c r="BL982" s="18">
        <v>7</v>
      </c>
    </row>
    <row r="983" spans="63:64">
      <c r="BK983" s="18" t="s">
        <v>4000</v>
      </c>
      <c r="BL983" s="18">
        <v>7</v>
      </c>
    </row>
    <row r="984" spans="63:64">
      <c r="BK984" s="18" t="s">
        <v>3981</v>
      </c>
      <c r="BL984" s="18">
        <v>7</v>
      </c>
    </row>
    <row r="985" spans="63:64">
      <c r="BK985" s="18" t="s">
        <v>3983</v>
      </c>
      <c r="BL985" s="18">
        <v>7</v>
      </c>
    </row>
    <row r="986" spans="63:64">
      <c r="BK986" s="18" t="s">
        <v>3984</v>
      </c>
      <c r="BL986" s="18">
        <v>7</v>
      </c>
    </row>
    <row r="987" spans="63:64">
      <c r="BK987" s="18" t="s">
        <v>3985</v>
      </c>
      <c r="BL987" s="18">
        <v>7</v>
      </c>
    </row>
    <row r="988" spans="63:64">
      <c r="BK988" s="18" t="s">
        <v>3989</v>
      </c>
      <c r="BL988" s="18">
        <v>7</v>
      </c>
    </row>
    <row r="989" spans="63:64">
      <c r="BK989" s="18" t="s">
        <v>3990</v>
      </c>
      <c r="BL989" s="18">
        <v>7</v>
      </c>
    </row>
    <row r="990" spans="63:64">
      <c r="BK990" s="18" t="s">
        <v>3991</v>
      </c>
      <c r="BL990" s="18">
        <v>7</v>
      </c>
    </row>
    <row r="991" spans="63:64">
      <c r="BK991" s="18" t="s">
        <v>3986</v>
      </c>
      <c r="BL991" s="18">
        <v>7</v>
      </c>
    </row>
    <row r="992" spans="63:64">
      <c r="BK992" s="18" t="s">
        <v>3978</v>
      </c>
      <c r="BL992" s="18">
        <v>7</v>
      </c>
    </row>
    <row r="993" spans="63:64">
      <c r="BK993" s="18" t="s">
        <v>3995</v>
      </c>
      <c r="BL993" s="18">
        <v>7</v>
      </c>
    </row>
    <row r="994" spans="63:64">
      <c r="BK994" s="18" t="s">
        <v>3994</v>
      </c>
      <c r="BL994" s="18">
        <v>7</v>
      </c>
    </row>
    <row r="995" spans="63:64">
      <c r="BK995" s="18" t="s">
        <v>3987</v>
      </c>
      <c r="BL995" s="18">
        <v>7</v>
      </c>
    </row>
    <row r="996" spans="63:64">
      <c r="BK996" s="18" t="s">
        <v>3992</v>
      </c>
      <c r="BL996" s="18">
        <v>7</v>
      </c>
    </row>
    <row r="997" spans="63:64">
      <c r="BK997" s="18" t="s">
        <v>3988</v>
      </c>
      <c r="BL997" s="18">
        <v>7</v>
      </c>
    </row>
    <row r="998" spans="63:64">
      <c r="BK998" s="18" t="s">
        <v>3997</v>
      </c>
      <c r="BL998" s="18">
        <v>7</v>
      </c>
    </row>
    <row r="999" spans="63:64">
      <c r="BK999" s="18" t="s">
        <v>3980</v>
      </c>
      <c r="BL999" s="18">
        <v>7</v>
      </c>
    </row>
    <row r="1000" spans="63:64">
      <c r="BK1000" s="18" t="s">
        <v>3982</v>
      </c>
      <c r="BL1000" s="18">
        <v>7</v>
      </c>
    </row>
    <row r="1001" spans="63:64">
      <c r="BK1001" s="18" t="s">
        <v>3998</v>
      </c>
      <c r="BL1001" s="18">
        <v>7</v>
      </c>
    </row>
    <row r="1002" spans="63:64">
      <c r="BK1002" s="18" t="s">
        <v>3999</v>
      </c>
      <c r="BL1002" s="18">
        <v>7</v>
      </c>
    </row>
    <row r="1003" spans="63:64">
      <c r="BK1003" s="18" t="s">
        <v>3979</v>
      </c>
      <c r="BL1003" s="18">
        <v>7</v>
      </c>
    </row>
    <row r="1004" spans="63:64">
      <c r="BK1004" s="18" t="s">
        <v>4002</v>
      </c>
      <c r="BL1004" s="18">
        <v>7</v>
      </c>
    </row>
    <row r="1005" spans="63:64">
      <c r="BK1005" s="18" t="s">
        <v>3977</v>
      </c>
      <c r="BL1005" s="18">
        <v>7</v>
      </c>
    </row>
    <row r="1006" spans="63:64">
      <c r="BK1006" s="18" t="s">
        <v>3993</v>
      </c>
      <c r="BL1006" s="18">
        <v>7</v>
      </c>
    </row>
    <row r="1007" spans="63:64">
      <c r="BK1007" s="18" t="s">
        <v>3761</v>
      </c>
      <c r="BL1007" s="18">
        <v>11</v>
      </c>
    </row>
    <row r="1008" spans="63:64">
      <c r="BK1008" s="18" t="s">
        <v>3760</v>
      </c>
      <c r="BL1008" s="18">
        <v>11</v>
      </c>
    </row>
    <row r="1009" spans="63:64">
      <c r="BK1009" s="18" t="s">
        <v>3764</v>
      </c>
      <c r="BL1009" s="18">
        <v>11</v>
      </c>
    </row>
    <row r="1010" spans="63:64">
      <c r="BK1010" s="18" t="s">
        <v>3763</v>
      </c>
      <c r="BL1010" s="18">
        <v>11</v>
      </c>
    </row>
    <row r="1011" spans="63:64">
      <c r="BK1011" s="18" t="s">
        <v>3756</v>
      </c>
      <c r="BL1011" s="18">
        <v>11</v>
      </c>
    </row>
    <row r="1012" spans="63:64">
      <c r="BK1012" s="18" t="s">
        <v>3757</v>
      </c>
      <c r="BL1012" s="18">
        <v>11</v>
      </c>
    </row>
    <row r="1013" spans="63:64">
      <c r="BK1013" s="18" t="s">
        <v>3758</v>
      </c>
      <c r="BL1013" s="18">
        <v>11</v>
      </c>
    </row>
    <row r="1014" spans="63:64">
      <c r="BK1014" s="18" t="s">
        <v>3762</v>
      </c>
      <c r="BL1014" s="18">
        <v>11</v>
      </c>
    </row>
    <row r="1015" spans="63:64">
      <c r="BK1015" s="18" t="s">
        <v>3759</v>
      </c>
      <c r="BL1015" s="18">
        <v>11</v>
      </c>
    </row>
  </sheetData>
  <mergeCells count="1">
    <mergeCell ref="BN1:BP1"/>
  </mergeCells>
  <pageMargins left="0.7" right="0.7" top="0.75" bottom="0.75" header="0.3" footer="0.3"/>
  <tableParts count="2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188</vt:i4>
      </vt:variant>
    </vt:vector>
  </HeadingPairs>
  <TitlesOfParts>
    <vt:vector size="194" baseType="lpstr">
      <vt:lpstr>Random NPC Type </vt:lpstr>
      <vt:lpstr>Random NPC</vt:lpstr>
      <vt:lpstr>Random Druid</vt:lpstr>
      <vt:lpstr>Random Elf</vt:lpstr>
      <vt:lpstr>Random Bard</vt:lpstr>
      <vt:lpstr>Random NPC Source Data</vt:lpstr>
      <vt:lpstr>'Random NPC Type '!Age</vt:lpstr>
      <vt:lpstr>Age</vt:lpstr>
      <vt:lpstr>'Random NPC Type '!Bard_background</vt:lpstr>
      <vt:lpstr>Bard_background</vt:lpstr>
      <vt:lpstr>'Random NPC Type '!Bard_boot_hide</vt:lpstr>
      <vt:lpstr>Bard_boot_hide</vt:lpstr>
      <vt:lpstr>'Random NPC Type '!Bard_clothes</vt:lpstr>
      <vt:lpstr>Bard_clothes</vt:lpstr>
      <vt:lpstr>'Random NPC Type '!Bard_coat_hide</vt:lpstr>
      <vt:lpstr>Bard_coat_hide</vt:lpstr>
      <vt:lpstr>'Random NPC Type '!Bard_fans</vt:lpstr>
      <vt:lpstr>Bard_fans</vt:lpstr>
      <vt:lpstr>'Random NPC Type '!Bard_goal</vt:lpstr>
      <vt:lpstr>Bard_goal</vt:lpstr>
      <vt:lpstr>'Random NPC Type '!Bard_hat_feather</vt:lpstr>
      <vt:lpstr>Bard_hat_feather</vt:lpstr>
      <vt:lpstr>'Random NPC Type '!Bard_instrument</vt:lpstr>
      <vt:lpstr>Bard_instrument</vt:lpstr>
      <vt:lpstr>'Random NPC Type '!Bard_instrument_history</vt:lpstr>
      <vt:lpstr>Bard_instrument_history</vt:lpstr>
      <vt:lpstr>'Random NPC Type '!Bard_possessions</vt:lpstr>
      <vt:lpstr>Bard_possessions</vt:lpstr>
      <vt:lpstr>'Random NPC Type '!Bard_song</vt:lpstr>
      <vt:lpstr>Bard_song</vt:lpstr>
      <vt:lpstr>'Random NPC Type '!Bard_song_popular</vt:lpstr>
      <vt:lpstr>Bard_song_popular</vt:lpstr>
      <vt:lpstr>'Random NPC Type '!Bard_sung_at</vt:lpstr>
      <vt:lpstr>Bard_sung_at</vt:lpstr>
      <vt:lpstr>'Random NPC Type '!Bard_tale</vt:lpstr>
      <vt:lpstr>Bard_tale</vt:lpstr>
      <vt:lpstr>'Random NPC Type '!Bard_trait</vt:lpstr>
      <vt:lpstr>Bard_trait</vt:lpstr>
      <vt:lpstr>'Random NPC Type '!Bard_weapons_tricks</vt:lpstr>
      <vt:lpstr>Bard_weapons_tricks</vt:lpstr>
      <vt:lpstr>'Random NPC Type '!Body</vt:lpstr>
      <vt:lpstr>Body</vt:lpstr>
      <vt:lpstr>'Random NPC Type '!Callarii_eyes</vt:lpstr>
      <vt:lpstr>Callarii_eyes</vt:lpstr>
      <vt:lpstr>'Random NPC Type '!Callarii_goal</vt:lpstr>
      <vt:lpstr>Callarii_goal</vt:lpstr>
      <vt:lpstr>'Random NPC Type '!Callarii_hair</vt:lpstr>
      <vt:lpstr>Callarii_hair</vt:lpstr>
      <vt:lpstr>'Random NPC Type '!Callarii_mannerism</vt:lpstr>
      <vt:lpstr>Callarii_mannerism</vt:lpstr>
      <vt:lpstr>'Random NPC Type '!Callarii_possession</vt:lpstr>
      <vt:lpstr>Callarii_possession</vt:lpstr>
      <vt:lpstr>'Random NPC Type '!Callarii_profession</vt:lpstr>
      <vt:lpstr>Callarii_profession</vt:lpstr>
      <vt:lpstr>'Random NPC Type '!Calm_trait</vt:lpstr>
      <vt:lpstr>Calm_trait</vt:lpstr>
      <vt:lpstr>'Random NPC Type '!Clothes</vt:lpstr>
      <vt:lpstr>Clothes</vt:lpstr>
      <vt:lpstr>'Random NPC Type '!Cook_background</vt:lpstr>
      <vt:lpstr>Cook_background</vt:lpstr>
      <vt:lpstr>'Random NPC Type '!Current_mood</vt:lpstr>
      <vt:lpstr>Current_mood</vt:lpstr>
      <vt:lpstr>'Random NPC Type '!Druid_Background</vt:lpstr>
      <vt:lpstr>Druid_Background</vt:lpstr>
      <vt:lpstr>'Random NPC Type '!Druid_clothes</vt:lpstr>
      <vt:lpstr>Druid_clothes</vt:lpstr>
      <vt:lpstr>'Random NPC Type '!Druid_Eyes</vt:lpstr>
      <vt:lpstr>Druid_Eyes</vt:lpstr>
      <vt:lpstr>'Random NPC Type '!Druid_focus</vt:lpstr>
      <vt:lpstr>Druid_focus</vt:lpstr>
      <vt:lpstr>'Random NPC Type '!Druid_focus_beast</vt:lpstr>
      <vt:lpstr>Druid_focus_beast</vt:lpstr>
      <vt:lpstr>'Random NPC Type '!Druid_focus_plants</vt:lpstr>
      <vt:lpstr>Druid_focus_plants</vt:lpstr>
      <vt:lpstr>'Random NPC Type '!Druid_goal</vt:lpstr>
      <vt:lpstr>Druid_goal</vt:lpstr>
      <vt:lpstr>'Random NPC Type '!Druid_Mannerism</vt:lpstr>
      <vt:lpstr>Druid_Mannerism</vt:lpstr>
      <vt:lpstr>'Random NPC Type '!Druid_possessions</vt:lpstr>
      <vt:lpstr>Druid_possessions</vt:lpstr>
      <vt:lpstr>'Random NPC Type '!Druid_remedy_application</vt:lpstr>
      <vt:lpstr>Druid_remedy_application</vt:lpstr>
      <vt:lpstr>'Random NPC Type '!Druid_remedy_color</vt:lpstr>
      <vt:lpstr>Druid_remedy_color</vt:lpstr>
      <vt:lpstr>'Random NPC Type '!Druid_remedy_form</vt:lpstr>
      <vt:lpstr>Druid_remedy_form</vt:lpstr>
      <vt:lpstr>'Random NPC Type '!Druid_remedy_ingredients</vt:lpstr>
      <vt:lpstr>Druid_remedy_ingredients</vt:lpstr>
      <vt:lpstr>'Random NPC Type '!Druid_remedy_prep</vt:lpstr>
      <vt:lpstr>Druid_remedy_prep</vt:lpstr>
      <vt:lpstr>'Random NPC Type '!Druid_remedy_purpose</vt:lpstr>
      <vt:lpstr>Druid_remedy_purpose</vt:lpstr>
      <vt:lpstr>'Random NPC Type '!Druid_Special_Wild_Connection</vt:lpstr>
      <vt:lpstr>Druid_Special_Wild_Connection</vt:lpstr>
      <vt:lpstr>'Random NPC Type '!Druid_Training</vt:lpstr>
      <vt:lpstr>Druid_Training</vt:lpstr>
      <vt:lpstr>'Random NPC Type '!Druid_Trait</vt:lpstr>
      <vt:lpstr>Druid_Trait</vt:lpstr>
      <vt:lpstr>'Random NPC Type '!Druid_Weapon</vt:lpstr>
      <vt:lpstr>Druid_Weapon</vt:lpstr>
      <vt:lpstr>'Random NPC Type '!Ears</vt:lpstr>
      <vt:lpstr>Ears</vt:lpstr>
      <vt:lpstr>'Random NPC Type '!Elf_clan_name</vt:lpstr>
      <vt:lpstr>Elf_clan_name</vt:lpstr>
      <vt:lpstr>'Random NPC Type '!Elf_female_name</vt:lpstr>
      <vt:lpstr>Elf_female_name</vt:lpstr>
      <vt:lpstr>'Random NPC Type '!Elf_male_name</vt:lpstr>
      <vt:lpstr>Elf_male_name</vt:lpstr>
      <vt:lpstr>'Random NPC Type '!Elf_Types</vt:lpstr>
      <vt:lpstr>Elf_Types</vt:lpstr>
      <vt:lpstr>'Random NPC Type '!Elves</vt:lpstr>
      <vt:lpstr>Elves</vt:lpstr>
      <vt:lpstr>'Random NPC Type '!Eyes</vt:lpstr>
      <vt:lpstr>Eyes</vt:lpstr>
      <vt:lpstr>'Random NPC Type '!Face</vt:lpstr>
      <vt:lpstr>Face</vt:lpstr>
      <vt:lpstr>'Random NPC Type '!Faith</vt:lpstr>
      <vt:lpstr>Faith</vt:lpstr>
      <vt:lpstr>'Random NPC Type '!Female_names</vt:lpstr>
      <vt:lpstr>Female_names</vt:lpstr>
      <vt:lpstr>'Random NPC Type '!Flaws</vt:lpstr>
      <vt:lpstr>Flaws</vt:lpstr>
      <vt:lpstr>'Random NPC Type '!Gender</vt:lpstr>
      <vt:lpstr>Gender</vt:lpstr>
      <vt:lpstr>'Random NPC Type '!Hair</vt:lpstr>
      <vt:lpstr>Hair</vt:lpstr>
      <vt:lpstr>'Random NPC Type '!Hands</vt:lpstr>
      <vt:lpstr>Hands</vt:lpstr>
      <vt:lpstr>'Random NPC Type '!Height</vt:lpstr>
      <vt:lpstr>Height</vt:lpstr>
      <vt:lpstr>'Random NPC Type '!High_elf_eyes</vt:lpstr>
      <vt:lpstr>High_elf_eyes</vt:lpstr>
      <vt:lpstr>'Random NPC Type '!High_elf_goal</vt:lpstr>
      <vt:lpstr>High_elf_goal</vt:lpstr>
      <vt:lpstr>'Random NPC Type '!High_elf_hair</vt:lpstr>
      <vt:lpstr>High_elf_hair</vt:lpstr>
      <vt:lpstr>'Random NPC Type '!High_elf_mannerism</vt:lpstr>
      <vt:lpstr>High_elf_mannerism</vt:lpstr>
      <vt:lpstr>'Random NPC Type '!High_elf_possession</vt:lpstr>
      <vt:lpstr>High_elf_possession</vt:lpstr>
      <vt:lpstr>'Random NPC Type '!High_elf_profession</vt:lpstr>
      <vt:lpstr>High_elf_profession</vt:lpstr>
      <vt:lpstr>'Random NPC Type '!Jaw</vt:lpstr>
      <vt:lpstr>Jaw</vt:lpstr>
      <vt:lpstr>'Random NPC Type '!Jewelry</vt:lpstr>
      <vt:lpstr>Jewelry</vt:lpstr>
      <vt:lpstr>'Random NPC Type '!Jewelry_made_of</vt:lpstr>
      <vt:lpstr>Jewelry_made_of</vt:lpstr>
      <vt:lpstr>'Random NPC Type '!Knight_goal</vt:lpstr>
      <vt:lpstr>Knight_goal</vt:lpstr>
      <vt:lpstr>'Random NPC Type '!Knight_possession</vt:lpstr>
      <vt:lpstr>Knight_possession</vt:lpstr>
      <vt:lpstr>'Random NPC Type '!Lord_background</vt:lpstr>
      <vt:lpstr>Lord_background</vt:lpstr>
      <vt:lpstr>'Random NPC Type '!Lord_goal</vt:lpstr>
      <vt:lpstr>Lord_goal</vt:lpstr>
      <vt:lpstr>'Random NPC Type '!Lord_possessions</vt:lpstr>
      <vt:lpstr>Lord_possessions</vt:lpstr>
      <vt:lpstr>'Random NPC Type '!Male_names</vt:lpstr>
      <vt:lpstr>Male_names</vt:lpstr>
      <vt:lpstr>'Random NPC Type '!Mouth</vt:lpstr>
      <vt:lpstr>Mouth</vt:lpstr>
      <vt:lpstr>'Random NPC Type '!Noblewoman_background</vt:lpstr>
      <vt:lpstr>Noblewoman_background</vt:lpstr>
      <vt:lpstr>'Random NPC Type '!Nose</vt:lpstr>
      <vt:lpstr>Nose</vt:lpstr>
      <vt:lpstr>'Random NPC Type '!NPC_Type</vt:lpstr>
      <vt:lpstr>NPC_Type</vt:lpstr>
      <vt:lpstr>'Random NPC Type '!Prejudice</vt:lpstr>
      <vt:lpstr>Prejudice</vt:lpstr>
      <vt:lpstr>'Random NPC Type '!Race</vt:lpstr>
      <vt:lpstr>Race</vt:lpstr>
      <vt:lpstr>'Random NPC Type '!Scar</vt:lpstr>
      <vt:lpstr>Scar</vt:lpstr>
      <vt:lpstr>'Random NPC Type '!Stress_trait</vt:lpstr>
      <vt:lpstr>Stress_trait</vt:lpstr>
      <vt:lpstr>'Random NPC Type '!Tattoos</vt:lpstr>
      <vt:lpstr>Tattoos</vt:lpstr>
      <vt:lpstr>'Random NPC Type '!Tutor_knowledge</vt:lpstr>
      <vt:lpstr>Tutor_knowledge</vt:lpstr>
      <vt:lpstr>'Random NPC Type '!Tutor_viewed_as</vt:lpstr>
      <vt:lpstr>Tutor_viewed_as</vt:lpstr>
      <vt:lpstr>'Random NPC Type '!Vyalia_eyes</vt:lpstr>
      <vt:lpstr>Vyalia_eyes</vt:lpstr>
      <vt:lpstr>'Random NPC Type '!Vyalia_goal</vt:lpstr>
      <vt:lpstr>Vyalia_goal</vt:lpstr>
      <vt:lpstr>'Random NPC Type '!Vyalia_hair</vt:lpstr>
      <vt:lpstr>Vyalia_hair</vt:lpstr>
      <vt:lpstr>'Random NPC Type '!Vyalia_mannerism</vt:lpstr>
      <vt:lpstr>Vyalia_mannerism</vt:lpstr>
      <vt:lpstr>'Random NPC Type '!Vyalia_possession</vt:lpstr>
      <vt:lpstr>Vyalia_possession</vt:lpstr>
      <vt:lpstr>'Random NPC Type '!Vyalia_profession</vt:lpstr>
      <vt:lpstr>Vyalia_profession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Greve</dc:creator>
  <cp:lastModifiedBy>Benjamin Greve</cp:lastModifiedBy>
  <dcterms:created xsi:type="dcterms:W3CDTF">2025-01-06T22:11:08Z</dcterms:created>
  <dcterms:modified xsi:type="dcterms:W3CDTF">2025-01-17T14:00:16Z</dcterms:modified>
</cp:coreProperties>
</file>